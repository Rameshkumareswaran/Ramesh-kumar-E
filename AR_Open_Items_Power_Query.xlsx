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Raw_Data" sheetId="2" state="visible" r:id="rId4"/>
    <sheet name="Cleaned_Data" sheetId="3" state="visible" r:id="rId5"/>
    <sheet name="Before_After" sheetId="4" state="visible" r:id="rId6"/>
    <sheet name="Issues_Log" sheetId="5" state="visible" r:id="rId7"/>
    <sheet name="Aging_Summary" sheetId="6" state="visible" r:id="rId8"/>
    <sheet name="Cust_Master" sheetId="7" state="visible" r:id="rId9"/>
    <sheet name="Rep_Alias" sheetId="8" state="visible" r:id="rId10"/>
    <sheet name="M_Code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<sst xmlns="http://schemas.openxmlformats.org/spreadsheetml/2006/main" count="10768" uniqueCount="2676">
  <si>
    <t xml:space="preserve">AR Open Items - Power Query cleaning example</t>
  </si>
  <si>
    <t xml:space="preserve">A messy accounts-receivable open-items print (670 lines, 497 real open items) cleaned with Power Query.</t>
  </si>
  <si>
    <t xml:space="preserve">All customers, invoice numbers and amounts are fictitious.</t>
  </si>
  <si>
    <t xml:space="preserve">Sheets</t>
  </si>
  <si>
    <t xml:space="preserve">Raw_Data       The export exactly as it came out: titles, page footers, subtotals, repeated headers, duplicates, mixed formats.</t>
  </si>
  <si>
    <t xml:space="preserve">Cleaned_Data   The output of the AR_Open_Items_Clean query (one row per open document, typed columns, ageing added).</t>
  </si>
  <si>
    <t xml:space="preserve">Before_After   30 real fields from the raw file next to what the query turns them into, and which step does it.</t>
  </si>
  <si>
    <t xml:space="preserve">Issues_Log     Every problem found in the raw file, how it is handled, and how many lines it touched.</t>
  </si>
  <si>
    <t xml:space="preserve">Aging_Summary  Ageing by bucket and currency, and by customer. Live formulas on Cleaned_Data. Reconciled to the report footer.</t>
  </si>
  <si>
    <t xml:space="preserve">Cust_Master / Rep_Alias   The two lookup tables the query joins to.</t>
  </si>
  <si>
    <t xml:space="preserve">M_Code         The main query, for pasting into Data &gt; Get Data &gt; Blank Query &gt; Advanced Editor.</t>
  </si>
  <si>
    <t xml:space="preserve">Running it yourself</t>
  </si>
  <si>
    <t xml:space="preserve">The queries live in the power_query folder of the repo and read the CSV files in data\. Set pRepoPath to your folder, load the queries, refresh.</t>
  </si>
  <si>
    <t xml:space="preserve">The sheets in this workbook hold the results so the repo can be browsed without running anything.</t>
  </si>
  <si>
    <t xml:space="preserve">Assumptions</t>
  </si>
  <si>
    <t xml:space="preserve">Ageing is against the report date in Aging_Summary!B3 (30-Sep-2026). USD and EUR items are not converted to INR.</t>
  </si>
  <si>
    <t xml:space="preserve">Credit notes and on-account receipts are always negative. Blank currency is taken as INR. Blank terms use the customer master default.</t>
  </si>
  <si>
    <t xml:space="preserve">Hosur Road Industrial Supplies Pvt Ltd</t>
  </si>
  <si>
    <t xml:space="preserve">Accounts Receivable - Open Items by Customer</t>
  </si>
  <si>
    <t xml:space="preserve">As on 30/09/2026</t>
  </si>
  <si>
    <t xml:space="preserve">Run date: 01/10/2026 08:42</t>
  </si>
  <si>
    <t xml:space="preserve">Selection: all customers, all posting keys | Currency: document currency</t>
  </si>
  <si>
    <t xml:space="preserve">Cust Code</t>
  </si>
  <si>
    <t xml:space="preserve">Customer Name</t>
  </si>
  <si>
    <t xml:space="preserve">Doc No</t>
  </si>
  <si>
    <t xml:space="preserve">Type</t>
  </si>
  <si>
    <t xml:space="preserve">Doc Date</t>
  </si>
  <si>
    <t xml:space="preserve">Due Date</t>
  </si>
  <si>
    <t xml:space="preserve">Amount</t>
  </si>
  <si>
    <t xml:space="preserve">Curr</t>
  </si>
  <si>
    <t xml:space="preserve">Terms</t>
  </si>
  <si>
    <t xml:space="preserve">Sales Rep</t>
  </si>
  <si>
    <t xml:space="preserve">PO / Ref</t>
  </si>
  <si>
    <t xml:space="preserve">Remarks</t>
  </si>
  <si>
    <t xml:space="preserve">C10008 </t>
  </si>
  <si>
    <t xml:space="preserve">Sagar Polypack</t>
  </si>
  <si>
    <t xml:space="preserve">HR/25-26/01088</t>
  </si>
  <si>
    <t xml:space="preserve">INV</t>
  </si>
  <si>
    <t xml:space="preserve">09/12/2025</t>
  </si>
  <si>
    <t xml:space="preserve">08/01/2026</t>
  </si>
  <si>
    <t xml:space="preserve">96,594.74</t>
  </si>
  <si>
    <t xml:space="preserve">INR</t>
  </si>
  <si>
    <t xml:space="preserve">Net 30</t>
  </si>
  <si>
    <t xml:space="preserve">Anitha Rao</t>
  </si>
  <si>
    <t xml:space="preserve">PO/26/738</t>
  </si>
  <si>
    <t xml:space="preserve">JV/25-26/0031</t>
  </si>
  <si>
    <t xml:space="preserve">JV</t>
  </si>
  <si>
    <t xml:space="preserve">27-Feb-26</t>
  </si>
  <si>
    <t xml:space="preserve">-18,185.08</t>
  </si>
  <si>
    <t xml:space="preserve">A. Rao</t>
  </si>
  <si>
    <t xml:space="preserve">HR/25-26/03028</t>
  </si>
  <si>
    <t xml:space="preserve">03/03/2026</t>
  </si>
  <si>
    <t xml:space="preserve">02/04/2026</t>
  </si>
  <si>
    <t xml:space="preserve">44,604.00</t>
  </si>
  <si>
    <t xml:space="preserve">inr</t>
  </si>
  <si>
    <t xml:space="preserve">Anitha R.</t>
  </si>
  <si>
    <t xml:space="preserve">none</t>
  </si>
  <si>
    <t xml:space="preserve">PTP 15/10</t>
  </si>
  <si>
    <t xml:space="preserve">HR/25-26/04023</t>
  </si>
  <si>
    <t xml:space="preserve">29/03/2026</t>
  </si>
  <si>
    <t xml:space="preserve">39,270.00</t>
  </si>
  <si>
    <t xml:space="preserve">₹</t>
  </si>
  <si>
    <t xml:space="preserve">PO/26/116</t>
  </si>
  <si>
    <t xml:space="preserve">HR/26-27/00424</t>
  </si>
  <si>
    <t xml:space="preserve">05/06/2026</t>
  </si>
  <si>
    <t xml:space="preserve">05/07/2026</t>
  </si>
  <si>
    <t xml:space="preserve">104,685.00</t>
  </si>
  <si>
    <t xml:space="preserve">30 days</t>
  </si>
  <si>
    <t xml:space="preserve">anitha rao</t>
  </si>
  <si>
    <t xml:space="preserve">PO-5305</t>
  </si>
  <si>
    <t xml:space="preserve">HR/26-27/00716</t>
  </si>
  <si>
    <t xml:space="preserve">11-Jul-26</t>
  </si>
  <si>
    <t xml:space="preserve">10-Aug-26</t>
  </si>
  <si>
    <t xml:space="preserve">Rs. 224,663.47</t>
  </si>
  <si>
    <t xml:space="preserve">30 Days</t>
  </si>
  <si>
    <t xml:space="preserve">PO/26/505</t>
  </si>
  <si>
    <t xml:space="preserve">HR/26-27/00691</t>
  </si>
  <si>
    <t xml:space="preserve">08/07/2026</t>
  </si>
  <si>
    <t xml:space="preserve">07/08/2026</t>
  </si>
  <si>
    <t xml:space="preserve">17346.00</t>
  </si>
  <si>
    <t xml:space="preserve">DN/26-27/0016</t>
  </si>
  <si>
    <t xml:space="preserve">DN</t>
  </si>
  <si>
    <t xml:space="preserve">02/08/2026</t>
  </si>
  <si>
    <t xml:space="preserve">01/09/2026</t>
  </si>
  <si>
    <t xml:space="preserve">1,988.36</t>
  </si>
  <si>
    <t xml:space="preserve">PO-5807</t>
  </si>
  <si>
    <t xml:space="preserve">HR/26-27/01104</t>
  </si>
  <si>
    <t xml:space="preserve">02-Aug-26</t>
  </si>
  <si>
    <t xml:space="preserve">01-Sep-26</t>
  </si>
  <si>
    <t xml:space="preserve">80,478.64</t>
  </si>
  <si>
    <t xml:space="preserve">ANITHA R</t>
  </si>
  <si>
    <t xml:space="preserve">WO-624</t>
  </si>
  <si>
    <t xml:space="preserve">HR/26-27/01160</t>
  </si>
  <si>
    <t xml:space="preserve">06/08/2026</t>
  </si>
  <si>
    <t xml:space="preserve">05/09/2026</t>
  </si>
  <si>
    <t xml:space="preserve">138,916.85</t>
  </si>
  <si>
    <t xml:space="preserve">NET30</t>
  </si>
  <si>
    <t xml:space="preserve">PO-6241</t>
  </si>
  <si>
    <t xml:space="preserve">HR/26-27/01487</t>
  </si>
  <si>
    <t xml:space="preserve">46260</t>
  </si>
  <si>
    <t xml:space="preserve">46275</t>
  </si>
  <si>
    <t xml:space="preserve">50,268.00</t>
  </si>
  <si>
    <t xml:space="preserve">Net 15</t>
  </si>
  <si>
    <t xml:space="preserve">4597152166</t>
  </si>
  <si>
    <t xml:space="preserve">HR/26-27/01874</t>
  </si>
  <si>
    <t xml:space="preserve">09/09/2026</t>
  </si>
  <si>
    <t xml:space="preserve">09/10/2026</t>
  </si>
  <si>
    <t xml:space="preserve">Rs. 84,684.97</t>
  </si>
  <si>
    <t xml:space="preserve">HR/26-27/02095</t>
  </si>
  <si>
    <t xml:space="preserve">17/09/2026</t>
  </si>
  <si>
    <t xml:space="preserve">17/10/2026</t>
  </si>
  <si>
    <t xml:space="preserve">368450.74</t>
  </si>
  <si>
    <t xml:space="preserve">PO/25/481</t>
  </si>
  <si>
    <t xml:space="preserve">HR/26-27/02244</t>
  </si>
  <si>
    <t xml:space="preserve">21/09/2026</t>
  </si>
  <si>
    <t xml:space="preserve">21/10/2026</t>
  </si>
  <si>
    <t xml:space="preserve">192,340.00</t>
  </si>
  <si>
    <t xml:space="preserve">PO-8122</t>
  </si>
  <si>
    <t xml:space="preserve">HR/26-27/02376</t>
  </si>
  <si>
    <t xml:space="preserve">26 Sep 2026</t>
  </si>
  <si>
    <t xml:space="preserve">26/10/2026</t>
  </si>
  <si>
    <t xml:space="preserve">147,618.00</t>
  </si>
  <si>
    <t xml:space="preserve">Net30</t>
  </si>
  <si>
    <t xml:space="preserve">PO/26/467</t>
  </si>
  <si>
    <t xml:space="preserve">** Customer total **</t>
  </si>
  <si>
    <t xml:space="preserve">15,73,723.69</t>
  </si>
  <si>
    <t xml:space="preserve">C10011</t>
  </si>
  <si>
    <t xml:space="preserve">Sri Lakshmi Traders</t>
  </si>
  <si>
    <t xml:space="preserve">CN/26-27/0071</t>
  </si>
  <si>
    <t xml:space="preserve">CR NOTE</t>
  </si>
  <si>
    <t xml:space="preserve">08/08/2026</t>
  </si>
  <si>
    <t xml:space="preserve">20,619.99-</t>
  </si>
  <si>
    <t xml:space="preserve">Divya N.</t>
  </si>
  <si>
    <t xml:space="preserve">HR/26-27/01548</t>
  </si>
  <si>
    <t xml:space="preserve">27/08/2026</t>
  </si>
  <si>
    <t xml:space="preserve">26/09/2026</t>
  </si>
  <si>
    <t xml:space="preserve">140,774.00</t>
  </si>
  <si>
    <t xml:space="preserve">Divya Nair</t>
  </si>
  <si>
    <t xml:space="preserve">-</t>
  </si>
  <si>
    <t xml:space="preserve">1,20,154.01</t>
  </si>
  <si>
    <t xml:space="preserve">C10017</t>
  </si>
  <si>
    <t xml:space="preserve">Jayanagar Hardware Mart</t>
  </si>
  <si>
    <t xml:space="preserve">HR/26-27/00720</t>
  </si>
  <si>
    <t xml:space="preserve">14/07/2026</t>
  </si>
  <si>
    <t xml:space="preserve">29/07/2026</t>
  </si>
  <si>
    <t xml:space="preserve">Rs. 61,360.00</t>
  </si>
  <si>
    <t xml:space="preserve">Net15</t>
  </si>
  <si>
    <t xml:space="preserve">NA</t>
  </si>
  <si>
    <t xml:space="preserve">HR/26-27/01368</t>
  </si>
  <si>
    <t xml:space="preserve">2026-08-21</t>
  </si>
  <si>
    <t xml:space="preserve">28,084.00</t>
  </si>
  <si>
    <t xml:space="preserve">HR/26-27/01665</t>
  </si>
  <si>
    <t xml:space="preserve">02/09/2026</t>
  </si>
  <si>
    <t xml:space="preserve">15,340</t>
  </si>
  <si>
    <t xml:space="preserve">1,04,784.00</t>
  </si>
  <si>
    <t xml:space="preserve">C10021</t>
  </si>
  <si>
    <t xml:space="preserve">Konkan Marine Equipments</t>
  </si>
  <si>
    <t xml:space="preserve">HR/25-26/00693</t>
  </si>
  <si>
    <t xml:space="preserve">13/11/2025</t>
  </si>
  <si>
    <t xml:space="preserve">28/12/2025</t>
  </si>
  <si>
    <t xml:space="preserve">57,015.00</t>
  </si>
  <si>
    <t xml:space="preserve">Net 45</t>
  </si>
  <si>
    <t xml:space="preserve">Suresh Babu</t>
  </si>
  <si>
    <t xml:space="preserve">PO-2314</t>
  </si>
  <si>
    <t xml:space="preserve">part payment recd, bal pending</t>
  </si>
  <si>
    <t xml:space="preserve">HR/25-26/02229</t>
  </si>
  <si>
    <t xml:space="preserve">17/01/2026</t>
  </si>
  <si>
    <t xml:space="preserve">560,146.00 </t>
  </si>
  <si>
    <t xml:space="preserve">45 Days</t>
  </si>
  <si>
    <t xml:space="preserve">PO/25/476</t>
  </si>
  <si>
    <t xml:space="preserve">HR/25-26/03868</t>
  </si>
  <si>
    <t xml:space="preserve">inv </t>
  </si>
  <si>
    <t xml:space="preserve">26/03/2026</t>
  </si>
  <si>
    <t xml:space="preserve">10/05/2026</t>
  </si>
  <si>
    <t xml:space="preserve">Rs. 27,258.00</t>
  </si>
  <si>
    <t xml:space="preserve">NET45</t>
  </si>
  <si>
    <t xml:space="preserve">PO/25/676</t>
  </si>
  <si>
    <t xml:space="preserve">HR/25-26/04223</t>
  </si>
  <si>
    <t xml:space="preserve">31/03/2026</t>
  </si>
  <si>
    <t xml:space="preserve">15/05/2026</t>
  </si>
  <si>
    <t xml:space="preserve">25,760.00</t>
  </si>
  <si>
    <t xml:space="preserve">DN/26-27/0002</t>
  </si>
  <si>
    <t xml:space="preserve">Dr Note</t>
  </si>
  <si>
    <t xml:space="preserve">20/07/2026</t>
  </si>
  <si>
    <t xml:space="preserve">4,480.00</t>
  </si>
  <si>
    <t xml:space="preserve">WO-495</t>
  </si>
  <si>
    <t xml:space="preserve">HR/26-27/00489</t>
  </si>
  <si>
    <t xml:space="preserve">18/06/2026</t>
  </si>
  <si>
    <t xml:space="preserve">402,380.00</t>
  </si>
  <si>
    <t xml:space="preserve">HR/26-27/00413</t>
  </si>
  <si>
    <t xml:space="preserve">03-Jun-26</t>
  </si>
  <si>
    <t xml:space="preserve">18-Jul-26</t>
  </si>
  <si>
    <t xml:space="preserve">606,900.00</t>
  </si>
  <si>
    <t xml:space="preserve">Ramesh</t>
  </si>
  <si>
    <t xml:space="preserve">PO-1164</t>
  </si>
  <si>
    <t xml:space="preserve">HR/26-27/00876</t>
  </si>
  <si>
    <t xml:space="preserve">21-Jul-26</t>
  </si>
  <si>
    <t xml:space="preserve">04-Sep-26</t>
  </si>
  <si>
    <t xml:space="preserve">46,451.21</t>
  </si>
  <si>
    <t xml:space="preserve">PO-6449</t>
  </si>
  <si>
    <t xml:space="preserve">HR/26-27/00973</t>
  </si>
  <si>
    <t xml:space="preserve">26/07/2026</t>
  </si>
  <si>
    <t xml:space="preserve">11,303.68</t>
  </si>
  <si>
    <t xml:space="preserve">4512095782</t>
  </si>
  <si>
    <t xml:space="preserve">HR/26-27/01162</t>
  </si>
  <si>
    <t xml:space="preserve">07.08.2026</t>
  </si>
  <si>
    <t xml:space="preserve">21.09.2026</t>
  </si>
  <si>
    <t xml:space="preserve">56,286.00</t>
  </si>
  <si>
    <t xml:space="preserve">PO-4393</t>
  </si>
  <si>
    <t xml:space="preserve">HR/26-27/01344</t>
  </si>
  <si>
    <t xml:space="preserve">19/08/2026</t>
  </si>
  <si>
    <t xml:space="preserve">03/10/2026</t>
  </si>
  <si>
    <t xml:space="preserve">66,394.53</t>
  </si>
  <si>
    <t xml:space="preserve">N45</t>
  </si>
  <si>
    <t xml:space="preserve">WO-551</t>
  </si>
  <si>
    <t xml:space="preserve">HR/ 26-27/01363</t>
  </si>
  <si>
    <t xml:space="preserve">21-Aug-26</t>
  </si>
  <si>
    <t xml:space="preserve">20-Oct-26</t>
  </si>
  <si>
    <t xml:space="preserve">35,754.00</t>
  </si>
  <si>
    <t xml:space="preserve">Net 60</t>
  </si>
  <si>
    <t xml:space="preserve">PO-9573</t>
  </si>
  <si>
    <t xml:space="preserve">CN/26-27/0087</t>
  </si>
  <si>
    <t xml:space="preserve">Cr Note</t>
  </si>
  <si>
    <t xml:space="preserve">22/08/2026</t>
  </si>
  <si>
    <t xml:space="preserve">55,658.43- </t>
  </si>
  <si>
    <t xml:space="preserve">Immediate</t>
  </si>
  <si>
    <t xml:space="preserve">ret. goods</t>
  </si>
  <si>
    <t xml:space="preserve"> HR/26-27/01968</t>
  </si>
  <si>
    <t xml:space="preserve">14/09/2026</t>
  </si>
  <si>
    <t xml:space="preserve">29/10/2026</t>
  </si>
  <si>
    <t xml:space="preserve">45062.24</t>
  </si>
  <si>
    <t xml:space="preserve">PO/25/366</t>
  </si>
  <si>
    <t xml:space="preserve">HR/26-27/01988</t>
  </si>
  <si>
    <t xml:space="preserve">15/09/2026</t>
  </si>
  <si>
    <t xml:space="preserve">30/10/2026</t>
  </si>
  <si>
    <t xml:space="preserve">73,925.76</t>
  </si>
  <si>
    <t xml:space="preserve">Rs</t>
  </si>
  <si>
    <t xml:space="preserve">WO-367</t>
  </si>
  <si>
    <t xml:space="preserve">hr/26-27/02020</t>
  </si>
  <si>
    <t xml:space="preserve">81920.00</t>
  </si>
  <si>
    <t xml:space="preserve">PO/26/267</t>
  </si>
  <si>
    <t xml:space="preserve">HR/26-27/02104</t>
  </si>
  <si>
    <t xml:space="preserve">18/09/2026</t>
  </si>
  <si>
    <t xml:space="preserve">02/11/2026</t>
  </si>
  <si>
    <t xml:space="preserve">4,76,838.00</t>
  </si>
  <si>
    <t xml:space="preserve">45 days</t>
  </si>
  <si>
    <t xml:space="preserve">PO-9754</t>
  </si>
  <si>
    <t xml:space="preserve">HR/26-27/02194</t>
  </si>
  <si>
    <t xml:space="preserve">20/09/2026</t>
  </si>
  <si>
    <t xml:space="preserve">04/11/2026</t>
  </si>
  <si>
    <t xml:space="preserve">37,760.00</t>
  </si>
  <si>
    <t xml:space="preserve">PO-8511</t>
  </si>
  <si>
    <t xml:space="preserve">25,59,975.99</t>
  </si>
  <si>
    <t xml:space="preserve">C10029</t>
  </si>
  <si>
    <t xml:space="preserve">Peenya Precision Tools</t>
  </si>
  <si>
    <t xml:space="preserve">HR/26-27/00299</t>
  </si>
  <si>
    <t xml:space="preserve">21/05/2026</t>
  </si>
  <si>
    <t xml:space="preserve">46,964.00</t>
  </si>
  <si>
    <t xml:space="preserve">S Babu</t>
  </si>
  <si>
    <t xml:space="preserve">PO-9393</t>
  </si>
  <si>
    <t xml:space="preserve">Page 1 of 13</t>
  </si>
  <si>
    <t xml:space="preserve">AR Open Items</t>
  </si>
  <si>
    <t xml:space="preserve">HR/26-27/00481</t>
  </si>
  <si>
    <t xml:space="preserve">17/06/2026</t>
  </si>
  <si>
    <t xml:space="preserve">17/07/2026</t>
  </si>
  <si>
    <t xml:space="preserve">38,114.00</t>
  </si>
  <si>
    <t xml:space="preserve">WO-204</t>
  </si>
  <si>
    <t xml:space="preserve">HR/26-27/00546</t>
  </si>
  <si>
    <t xml:space="preserve">25/06/2026</t>
  </si>
  <si>
    <t xml:space="preserve">10/07/2026</t>
  </si>
  <si>
    <t xml:space="preserve">33,866.00</t>
  </si>
  <si>
    <t xml:space="preserve">PO-9408</t>
  </si>
  <si>
    <t xml:space="preserve">dispute qty</t>
  </si>
  <si>
    <t xml:space="preserve">HR/26-27/00855</t>
  </si>
  <si>
    <t xml:space="preserve">Inv</t>
  </si>
  <si>
    <t xml:space="preserve">21/07/2026</t>
  </si>
  <si>
    <t xml:space="preserve">20/08/2026</t>
  </si>
  <si>
    <t xml:space="preserve">52,392.00</t>
  </si>
  <si>
    <t xml:space="preserve">suresh</t>
  </si>
  <si>
    <t xml:space="preserve">WO-876</t>
  </si>
  <si>
    <t xml:space="preserve">HR/26-27/01674</t>
  </si>
  <si>
    <t xml:space="preserve">INVOICE</t>
  </si>
  <si>
    <t xml:space="preserve">148102.33</t>
  </si>
  <si>
    <t xml:space="preserve">PO-1581</t>
  </si>
  <si>
    <t xml:space="preserve">HR/26-27/02100</t>
  </si>
  <si>
    <t xml:space="preserve">01/11/2026</t>
  </si>
  <si>
    <t xml:space="preserve">49560.00</t>
  </si>
  <si>
    <t xml:space="preserve">PO-3043</t>
  </si>
  <si>
    <t xml:space="preserve">HR/26-27/01660</t>
  </si>
  <si>
    <t xml:space="preserve">48,852.00</t>
  </si>
  <si>
    <t xml:space="preserve">Suresh B.</t>
  </si>
  <si>
    <t xml:space="preserve">WO-141</t>
  </si>
  <si>
    <t xml:space="preserve">HR/26-27/02169</t>
  </si>
  <si>
    <t xml:space="preserve">19/09/2026</t>
  </si>
  <si>
    <t xml:space="preserve">03/11/2026</t>
  </si>
  <si>
    <t xml:space="preserve">125,272.26</t>
  </si>
  <si>
    <t xml:space="preserve">WO-798</t>
  </si>
  <si>
    <t xml:space="preserve">HR/26-27/02389</t>
  </si>
  <si>
    <t xml:space="preserve">27/09/2026</t>
  </si>
  <si>
    <t xml:space="preserve">27/10/2026</t>
  </si>
  <si>
    <t xml:space="preserve">179,664.78</t>
  </si>
  <si>
    <t xml:space="preserve">SURESH B</t>
  </si>
  <si>
    <t xml:space="preserve">PO-5221</t>
  </si>
  <si>
    <t xml:space="preserve">HR/26-27/02355</t>
  </si>
  <si>
    <t xml:space="preserve">25/09/2026</t>
  </si>
  <si>
    <t xml:space="preserve">09/11/2026</t>
  </si>
  <si>
    <t xml:space="preserve">65,735.53</t>
  </si>
  <si>
    <t xml:space="preserve">as discussed</t>
  </si>
  <si>
    <t xml:space="preserve">7,88,522.90</t>
  </si>
  <si>
    <t xml:space="preserve">c10031</t>
  </si>
  <si>
    <t xml:space="preserve">Hosakote Industrial Estate Traders</t>
  </si>
  <si>
    <t xml:space="preserve">HR/25-26/02270</t>
  </si>
  <si>
    <t xml:space="preserve">19/01/2026</t>
  </si>
  <si>
    <t xml:space="preserve">18/02/2026</t>
  </si>
  <si>
    <t xml:space="preserve">Rs. 87,438.00</t>
  </si>
  <si>
    <t xml:space="preserve">PO-2191</t>
  </si>
  <si>
    <t xml:space="preserve">HR/25-26/02496</t>
  </si>
  <si>
    <t xml:space="preserve">09/02/2026</t>
  </si>
  <si>
    <t xml:space="preserve">11/03/2026</t>
  </si>
  <si>
    <t xml:space="preserve">6,844.00</t>
  </si>
  <si>
    <t xml:space="preserve">N30</t>
  </si>
  <si>
    <t xml:space="preserve">divya</t>
  </si>
  <si>
    <t xml:space="preserve">PO-4685</t>
  </si>
  <si>
    <t xml:space="preserve">HR/26-27/00371</t>
  </si>
  <si>
    <t xml:space="preserve">27/05/2026</t>
  </si>
  <si>
    <t xml:space="preserve">26/06/2026</t>
  </si>
  <si>
    <t xml:space="preserve">89,798.00</t>
  </si>
  <si>
    <t xml:space="preserve">PO-5478</t>
  </si>
  <si>
    <t xml:space="preserve">  RCT/26-27/00024 </t>
  </si>
  <si>
    <t xml:space="preserve">RCT</t>
  </si>
  <si>
    <t xml:space="preserve">11-Jun-26</t>
  </si>
  <si>
    <t xml:space="preserve">4,52,900.00</t>
  </si>
  <si>
    <t xml:space="preserve">DIVYA N</t>
  </si>
  <si>
    <t xml:space="preserve">HR/26-27/00901</t>
  </si>
  <si>
    <t xml:space="preserve">2026-07-23</t>
  </si>
  <si>
    <t xml:space="preserve">12,238.72</t>
  </si>
  <si>
    <t xml:space="preserve">30D</t>
  </si>
  <si>
    <t xml:space="preserve">PO-6587</t>
  </si>
  <si>
    <t xml:space="preserve">HR/26-27/01897</t>
  </si>
  <si>
    <t xml:space="preserve">10-Sep-26</t>
  </si>
  <si>
    <t xml:space="preserve">10-Oct-26</t>
  </si>
  <si>
    <t xml:space="preserve">35,282.00</t>
  </si>
  <si>
    <t xml:space="preserve">WO-380</t>
  </si>
  <si>
    <t xml:space="preserve">CN/26-27/0055</t>
  </si>
  <si>
    <t xml:space="preserve">CN</t>
  </si>
  <si>
    <t xml:space="preserve">25-Jul-26</t>
  </si>
  <si>
    <t xml:space="preserve">-15,900.00</t>
  </si>
  <si>
    <t xml:space="preserve">HR/26-27/01962</t>
  </si>
  <si>
    <t xml:space="preserve">13/09/2026</t>
  </si>
  <si>
    <t xml:space="preserve">146,320.00</t>
  </si>
  <si>
    <t xml:space="preserve">PO-4331</t>
  </si>
  <si>
    <t xml:space="preserve">HR/26-27/01963</t>
  </si>
  <si>
    <t xml:space="preserve">2026-09-13</t>
  </si>
  <si>
    <t xml:space="preserve">2026-10-13</t>
  </si>
  <si>
    <t xml:space="preserve">94,208.00</t>
  </si>
  <si>
    <t xml:space="preserve">PO-2190</t>
  </si>
  <si>
    <t xml:space="preserve">HR/26-27/02417</t>
  </si>
  <si>
    <t xml:space="preserve">29/09/2026</t>
  </si>
  <si>
    <t xml:space="preserve">36,693.87</t>
  </si>
  <si>
    <t xml:space="preserve">PO-9401</t>
  </si>
  <si>
    <t xml:space="preserve">40,022.59</t>
  </si>
  <si>
    <t xml:space="preserve">C10037</t>
  </si>
  <si>
    <t xml:space="preserve">Malnad Agro Foods Pvt Ltd</t>
  </si>
  <si>
    <t xml:space="preserve">HR/26-27/00034</t>
  </si>
  <si>
    <t xml:space="preserve">13/04/2026</t>
  </si>
  <si>
    <t xml:space="preserve">13/05/2026</t>
  </si>
  <si>
    <t xml:space="preserve">38,425.99</t>
  </si>
  <si>
    <t xml:space="preserve">PO-1632</t>
  </si>
  <si>
    <t xml:space="preserve">HR/26-27/00172</t>
  </si>
  <si>
    <t xml:space="preserve">04/05/2026</t>
  </si>
  <si>
    <t xml:space="preserve">03/06/2026</t>
  </si>
  <si>
    <t xml:space="preserve">₹ 40,829.42</t>
  </si>
  <si>
    <t xml:space="preserve">WO-950</t>
  </si>
  <si>
    <t xml:space="preserve">HR/26-27/00523</t>
  </si>
  <si>
    <t xml:space="preserve">21/06/2026</t>
  </si>
  <si>
    <t xml:space="preserve">Rs. 2,950.00</t>
  </si>
  <si>
    <t xml:space="preserve">PO/26/115</t>
  </si>
  <si>
    <t xml:space="preserve">PTP next week</t>
  </si>
  <si>
    <t xml:space="preserve">hr/26-27/00696</t>
  </si>
  <si>
    <t xml:space="preserve">09/08/2026</t>
  </si>
  <si>
    <t xml:space="preserve">PO/25/697</t>
  </si>
  <si>
    <t xml:space="preserve">HR/26-27/01118</t>
  </si>
  <si>
    <t xml:space="preserve">03/08/2026</t>
  </si>
  <si>
    <t xml:space="preserve">13334.00</t>
  </si>
  <si>
    <t xml:space="preserve">RCT/26-27/00352</t>
  </si>
  <si>
    <t xml:space="preserve">PMT</t>
  </si>
  <si>
    <t xml:space="preserve">03/09/2026</t>
  </si>
  <si>
    <t xml:space="preserve">229,500.00-</t>
  </si>
  <si>
    <t xml:space="preserve">NEFT 3163469018</t>
  </si>
  <si>
    <t xml:space="preserve">CN/26-27/0118</t>
  </si>
  <si>
    <t xml:space="preserve">(22,900.00)</t>
  </si>
  <si>
    <t xml:space="preserve">HR/26-27/02187</t>
  </si>
  <si>
    <t xml:space="preserve">19-Sep-26</t>
  </si>
  <si>
    <t xml:space="preserve">19-Oct-26</t>
  </si>
  <si>
    <t xml:space="preserve">53,872.00</t>
  </si>
  <si>
    <t xml:space="preserve">PO-7077</t>
  </si>
  <si>
    <t xml:space="preserve">on hold - site closed</t>
  </si>
  <si>
    <t xml:space="preserve">HR/26-27/02191</t>
  </si>
  <si>
    <t xml:space="preserve">20/10/2026</t>
  </si>
  <si>
    <t xml:space="preserve">3,47,156.00</t>
  </si>
  <si>
    <t xml:space="preserve">WO-188</t>
  </si>
  <si>
    <t xml:space="preserve">HR/26-27/02199</t>
  </si>
  <si>
    <t xml:space="preserve">20 Sep 2026</t>
  </si>
  <si>
    <t xml:space="preserve">20 Oct 2026</t>
  </si>
  <si>
    <t xml:space="preserve">21,594.00</t>
  </si>
  <si>
    <t xml:space="preserve">HR/26-27/02404</t>
  </si>
  <si>
    <t xml:space="preserve">28/09/2026</t>
  </si>
  <si>
    <t xml:space="preserve">28/10/2026</t>
  </si>
  <si>
    <t xml:space="preserve">34,720.00</t>
  </si>
  <si>
    <t xml:space="preserve">PO-8114</t>
  </si>
  <si>
    <t xml:space="preserve">4,41,255.41</t>
  </si>
  <si>
    <t xml:space="preserve">C10048</t>
  </si>
  <si>
    <t xml:space="preserve">Brightway Components GmbH</t>
  </si>
  <si>
    <t xml:space="preserve">EXP/25-26/0003</t>
  </si>
  <si>
    <t xml:space="preserve">05/03/2026</t>
  </si>
  <si>
    <t xml:space="preserve">21,306.14 </t>
  </si>
  <si>
    <t xml:space="preserve">EUR</t>
  </si>
  <si>
    <t xml:space="preserve">N60</t>
  </si>
  <si>
    <t xml:space="preserve">PO-5165</t>
  </si>
  <si>
    <t xml:space="preserve">bounced chq - redeposit</t>
  </si>
  <si>
    <t xml:space="preserve">EXP/25-26/0328</t>
  </si>
  <si>
    <t xml:space="preserve">23/03/2026</t>
  </si>
  <si>
    <t xml:space="preserve">22/05/2026</t>
  </si>
  <si>
    <t xml:space="preserve">2550.00</t>
  </si>
  <si>
    <t xml:space="preserve">€</t>
  </si>
  <si>
    <t xml:space="preserve">PO/25/887</t>
  </si>
  <si>
    <t xml:space="preserve">EXP/26-27/0111</t>
  </si>
  <si>
    <t xml:space="preserve">11/09/2026</t>
  </si>
  <si>
    <t xml:space="preserve">10/11/2026</t>
  </si>
  <si>
    <t xml:space="preserve">712.33</t>
  </si>
  <si>
    <t xml:space="preserve">WO-361</t>
  </si>
  <si>
    <t xml:space="preserve">EXP/26-27/0305</t>
  </si>
  <si>
    <t xml:space="preserve">12/09/2026</t>
  </si>
  <si>
    <t xml:space="preserve">11/11/2026</t>
  </si>
  <si>
    <t xml:space="preserve">5,318.67</t>
  </si>
  <si>
    <t xml:space="preserve">29,887.14</t>
  </si>
  <si>
    <t xml:space="preserve">c10050</t>
  </si>
  <si>
    <t xml:space="preserve">Deccan Pumps &amp; Motors Private Limited</t>
  </si>
  <si>
    <t xml:space="preserve">HR/25-26/00340</t>
  </si>
  <si>
    <t xml:space="preserve">26/08/2025</t>
  </si>
  <si>
    <t xml:space="preserve">25/10/2025</t>
  </si>
  <si>
    <t xml:space="preserve">Rs. 102,306.00</t>
  </si>
  <si>
    <t xml:space="preserve">60 Days</t>
  </si>
  <si>
    <t xml:space="preserve">D. Nair</t>
  </si>
  <si>
    <t xml:space="preserve">PO/26/137</t>
  </si>
  <si>
    <t xml:space="preserve">HR/25-26/00688</t>
  </si>
  <si>
    <t xml:space="preserve">07 Nov 2025</t>
  </si>
  <si>
    <t xml:space="preserve">06/01/2026</t>
  </si>
  <si>
    <t xml:space="preserve">174,640.00</t>
  </si>
  <si>
    <t xml:space="preserve">PO-6871</t>
  </si>
  <si>
    <t xml:space="preserve">CN/25-26/0080</t>
  </si>
  <si>
    <t xml:space="preserve">31/12/2025</t>
  </si>
  <si>
    <t xml:space="preserve">(46,479.44)</t>
  </si>
  <si>
    <t xml:space="preserve">HR/25-26/01869</t>
  </si>
  <si>
    <t xml:space="preserve">10/01/2026</t>
  </si>
  <si>
    <t xml:space="preserve">52,015.24</t>
  </si>
  <si>
    <t xml:space="preserve">PO/25/517</t>
  </si>
  <si>
    <t xml:space="preserve"> HR/26-27/00124</t>
  </si>
  <si>
    <t xml:space="preserve">30/04/2026</t>
  </si>
  <si>
    <t xml:space="preserve">29/06/2026</t>
  </si>
  <si>
    <t xml:space="preserve">₹ 179,043.32</t>
  </si>
  <si>
    <t xml:space="preserve">4556588637</t>
  </si>
  <si>
    <t xml:space="preserve">promised end of month</t>
  </si>
  <si>
    <t xml:space="preserve">Page 2 of 13</t>
  </si>
  <si>
    <t xml:space="preserve">C10050</t>
  </si>
  <si>
    <t xml:space="preserve">HR/26-27/00128</t>
  </si>
  <si>
    <t xml:space="preserve">784,464.00</t>
  </si>
  <si>
    <t xml:space="preserve">PO-8672</t>
  </si>
  <si>
    <t xml:space="preserve">HR/ 26-27/00418</t>
  </si>
  <si>
    <t xml:space="preserve">04/06/2026</t>
  </si>
  <si>
    <t xml:space="preserve">8,459.57</t>
  </si>
  <si>
    <t xml:space="preserve">PO/25/643</t>
  </si>
  <si>
    <t xml:space="preserve">HR/26-27/00453</t>
  </si>
  <si>
    <t xml:space="preserve">10/06/2026</t>
  </si>
  <si>
    <t xml:space="preserve">174720.00</t>
  </si>
  <si>
    <t xml:space="preserve">PO-1021</t>
  </si>
  <si>
    <t xml:space="preserve">HR/26-27/01225</t>
  </si>
  <si>
    <t xml:space="preserve">14/08/2026</t>
  </si>
  <si>
    <t xml:space="preserve">13/10/2026</t>
  </si>
  <si>
    <t xml:space="preserve">89,600.00</t>
  </si>
  <si>
    <t xml:space="preserve">WO-108</t>
  </si>
  <si>
    <t xml:space="preserve">DN/26-27/0017</t>
  </si>
  <si>
    <t xml:space="preserve">31.08.2026</t>
  </si>
  <si>
    <t xml:space="preserve">30.10.2026</t>
  </si>
  <si>
    <t xml:space="preserve">₹ 16,690.00 </t>
  </si>
  <si>
    <t xml:space="preserve">WO-960</t>
  </si>
  <si>
    <t xml:space="preserve">HR/26-27/02374</t>
  </si>
  <si>
    <t xml:space="preserve">24/11/2026</t>
  </si>
  <si>
    <t xml:space="preserve">114,393.66</t>
  </si>
  <si>
    <t xml:space="preserve">imran</t>
  </si>
  <si>
    <t xml:space="preserve">PO-2410</t>
  </si>
  <si>
    <t xml:space="preserve">16,49,852.35</t>
  </si>
  <si>
    <t xml:space="preserve">C10060</t>
  </si>
  <si>
    <t xml:space="preserve">Bhagyalakshmi Enterprises</t>
  </si>
  <si>
    <t xml:space="preserve">HR/25-26/03239</t>
  </si>
  <si>
    <t xml:space="preserve">10/04/2026</t>
  </si>
  <si>
    <t xml:space="preserve">1,05,492.00</t>
  </si>
  <si>
    <t xml:space="preserve">PO-4311</t>
  </si>
  <si>
    <t xml:space="preserve">HR/26-27/00025</t>
  </si>
  <si>
    <t xml:space="preserve">2026-04-11</t>
  </si>
  <si>
    <t xml:space="preserve">2026-05-11</t>
  </si>
  <si>
    <t xml:space="preserve">1,08,088.00</t>
  </si>
  <si>
    <t xml:space="preserve">Imran Sheikh</t>
  </si>
  <si>
    <t xml:space="preserve">HR/26-27/00243</t>
  </si>
  <si>
    <t xml:space="preserve">17/05/2026</t>
  </si>
  <si>
    <t xml:space="preserve">16/06/2026</t>
  </si>
  <si>
    <t xml:space="preserve">23,180.76</t>
  </si>
  <si>
    <t xml:space="preserve">HR/26-27/00780</t>
  </si>
  <si>
    <t xml:space="preserve">16/08/2026</t>
  </si>
  <si>
    <t xml:space="preserve">50,740.00</t>
  </si>
  <si>
    <t xml:space="preserve">WO-718</t>
  </si>
  <si>
    <t xml:space="preserve">HR/26-27/00832</t>
  </si>
  <si>
    <t xml:space="preserve">37237.34</t>
  </si>
  <si>
    <t xml:space="preserve">PO-5316</t>
  </si>
  <si>
    <t xml:space="preserve">3,24,738.10</t>
  </si>
  <si>
    <t xml:space="preserve">C10071</t>
  </si>
  <si>
    <t xml:space="preserve">Godavari Fertiliser Dealers</t>
  </si>
  <si>
    <t xml:space="preserve">HR/25-26/00455</t>
  </si>
  <si>
    <t xml:space="preserve">27/09/2025</t>
  </si>
  <si>
    <t xml:space="preserve">11/11/2025</t>
  </si>
  <si>
    <t xml:space="preserve">108,796.00</t>
  </si>
  <si>
    <t xml:space="preserve">PO-4840</t>
  </si>
  <si>
    <t xml:space="preserve">HR/25-26/00022</t>
  </si>
  <si>
    <t xml:space="preserve">11/04/2025</t>
  </si>
  <si>
    <t xml:space="preserve">26/05/2025</t>
  </si>
  <si>
    <t xml:space="preserve">56981.72</t>
  </si>
  <si>
    <t xml:space="preserve">WO-473</t>
  </si>
  <si>
    <t xml:space="preserve">HR/25-26/00952</t>
  </si>
  <si>
    <t xml:space="preserve">2025-12-08</t>
  </si>
  <si>
    <t xml:space="preserve">46044</t>
  </si>
  <si>
    <t xml:space="preserve">₹ 40,333.23</t>
  </si>
  <si>
    <t xml:space="preserve">PO/26/325</t>
  </si>
  <si>
    <t xml:space="preserve">RCT/25-26/00337</t>
  </si>
  <si>
    <t xml:space="preserve">12/03/2026</t>
  </si>
  <si>
    <t xml:space="preserve">(42,000.00)</t>
  </si>
  <si>
    <t xml:space="preserve">NEFT 8255049531</t>
  </si>
  <si>
    <t xml:space="preserve">HR/26-27/00064</t>
  </si>
  <si>
    <t xml:space="preserve">19/04/2026</t>
  </si>
  <si>
    <t xml:space="preserve">187,040.84</t>
  </si>
  <si>
    <t xml:space="preserve">WO-505</t>
  </si>
  <si>
    <t xml:space="preserve">HR/26-27/00277</t>
  </si>
  <si>
    <t xml:space="preserve">19/05/2026</t>
  </si>
  <si>
    <t xml:space="preserve">03/07/2026</t>
  </si>
  <si>
    <t xml:space="preserve">34,132.94</t>
  </si>
  <si>
    <t xml:space="preserve">PO/25/400</t>
  </si>
  <si>
    <t xml:space="preserve">HR/26-27/00340</t>
  </si>
  <si>
    <t xml:space="preserve">26/05/2026</t>
  </si>
  <si>
    <t xml:space="preserve">247181.13</t>
  </si>
  <si>
    <t xml:space="preserve">PO-8521</t>
  </si>
  <si>
    <t xml:space="preserve">Legal notice sent</t>
  </si>
  <si>
    <t xml:space="preserve">HR/26-27/01561</t>
  </si>
  <si>
    <t xml:space="preserve">28/08/2026</t>
  </si>
  <si>
    <t xml:space="preserve">169,364.23</t>
  </si>
  <si>
    <t xml:space="preserve">PO-9371</t>
  </si>
  <si>
    <t xml:space="preserve">HR/26-27/01858</t>
  </si>
  <si>
    <t xml:space="preserve">24/10/2026</t>
  </si>
  <si>
    <t xml:space="preserve">159,536.00</t>
  </si>
  <si>
    <t xml:space="preserve">PO-3072</t>
  </si>
  <si>
    <t xml:space="preserve">HR/26-27/02337</t>
  </si>
  <si>
    <t xml:space="preserve">24/09/2026</t>
  </si>
  <si>
    <t xml:space="preserve">08/11/2026</t>
  </si>
  <si>
    <t xml:space="preserve">Rs. 215,822.00</t>
  </si>
  <si>
    <t xml:space="preserve">PO-8748</t>
  </si>
  <si>
    <t xml:space="preserve">11,77,188.09</t>
  </si>
  <si>
    <t xml:space="preserve">*** ACCOUNT ON CREDIT HOLD ***</t>
  </si>
  <si>
    <t xml:space="preserve">C10074</t>
  </si>
  <si>
    <t xml:space="preserve">Tejas Precision Castings </t>
  </si>
  <si>
    <t xml:space="preserve">HR/25-26/00456</t>
  </si>
  <si>
    <t xml:space="preserve">07 Oct 2025</t>
  </si>
  <si>
    <t xml:space="preserve">21 Nov 2025</t>
  </si>
  <si>
    <t xml:space="preserve">76,837.14</t>
  </si>
  <si>
    <t xml:space="preserve">Prakash Hegde</t>
  </si>
  <si>
    <t xml:space="preserve">PO-3647</t>
  </si>
  <si>
    <t xml:space="preserve">HR/25-26/01586</t>
  </si>
  <si>
    <t xml:space="preserve">14/02/2025</t>
  </si>
  <si>
    <t xml:space="preserve">53,690.00</t>
  </si>
  <si>
    <t xml:space="preserve">Disputed - rate diff</t>
  </si>
  <si>
    <t xml:space="preserve">CN/26-27/0052</t>
  </si>
  <si>
    <t xml:space="preserve">22/06/2026</t>
  </si>
  <si>
    <t xml:space="preserve">(79,000.00)</t>
  </si>
  <si>
    <t xml:space="preserve">Prakash H.</t>
  </si>
  <si>
    <t xml:space="preserve">HR/26-27/01583</t>
  </si>
  <si>
    <t xml:space="preserve">29/08/2026</t>
  </si>
  <si>
    <t xml:space="preserve">40,530.00</t>
  </si>
  <si>
    <t xml:space="preserve">PO-1785</t>
  </si>
  <si>
    <t xml:space="preserve">HR/ 26-27/01647</t>
  </si>
  <si>
    <t xml:space="preserve">16/10/2025</t>
  </si>
  <si>
    <t xml:space="preserve">36332.57</t>
  </si>
  <si>
    <t xml:space="preserve">WO-948</t>
  </si>
  <si>
    <t xml:space="preserve">HR/26-27/01806</t>
  </si>
  <si>
    <t xml:space="preserve">08/09/2026</t>
  </si>
  <si>
    <t xml:space="preserve">213,760.00</t>
  </si>
  <si>
    <t xml:space="preserve">PRAKASH H</t>
  </si>
  <si>
    <t xml:space="preserve">4546984372</t>
  </si>
  <si>
    <t xml:space="preserve">HR/26-27/01908</t>
  </si>
  <si>
    <t xml:space="preserve">10/09/2026</t>
  </si>
  <si>
    <t xml:space="preserve">25/10/2026</t>
  </si>
  <si>
    <t xml:space="preserve">133,385.64</t>
  </si>
  <si>
    <t xml:space="preserve">PO-3116</t>
  </si>
  <si>
    <t xml:space="preserve">HR/26-27/01917</t>
  </si>
  <si>
    <t xml:space="preserve">86,022.00</t>
  </si>
  <si>
    <t xml:space="preserve">HR/26-27/02206</t>
  </si>
  <si>
    <t xml:space="preserve">20/11/2026</t>
  </si>
  <si>
    <t xml:space="preserve">₹ 80,516.90</t>
  </si>
  <si>
    <t xml:space="preserve">4561974448</t>
  </si>
  <si>
    <t xml:space="preserve">HR/26-27/02497</t>
  </si>
  <si>
    <t xml:space="preserve">30/09/2026</t>
  </si>
  <si>
    <t xml:space="preserve">14/11/2026</t>
  </si>
  <si>
    <t xml:space="preserve">26,880</t>
  </si>
  <si>
    <t xml:space="preserve">P. Hegde</t>
  </si>
  <si>
    <t xml:space="preserve">WO-325</t>
  </si>
  <si>
    <t xml:space="preserve">6,68,954.25</t>
  </si>
  <si>
    <t xml:space="preserve">C10081</t>
  </si>
  <si>
    <t xml:space="preserve">Maruthi Tools &amp; Dies</t>
  </si>
  <si>
    <t xml:space="preserve">HR/26-27/00149</t>
  </si>
  <si>
    <t xml:space="preserve">01-May-26</t>
  </si>
  <si>
    <t xml:space="preserve">16-May-26</t>
  </si>
  <si>
    <t xml:space="preserve">₹ 94,147.19</t>
  </si>
  <si>
    <t xml:space="preserve">PO/26/922</t>
  </si>
  <si>
    <t xml:space="preserve">HR/26-27/01268</t>
  </si>
  <si>
    <t xml:space="preserve">15-Aug-26</t>
  </si>
  <si>
    <t xml:space="preserve">14-Sep-26</t>
  </si>
  <si>
    <t xml:space="preserve">56,050.00</t>
  </si>
  <si>
    <t xml:space="preserve">PO/26/784</t>
  </si>
  <si>
    <t xml:space="preserve">disputed, awaiting CN</t>
  </si>
  <si>
    <t xml:space="preserve">1,50,197.19</t>
  </si>
  <si>
    <t xml:space="preserve">C10084</t>
  </si>
  <si>
    <t xml:space="preserve">MAHALAKSHMI FASTENERS</t>
  </si>
  <si>
    <t xml:space="preserve">HR/25-26/02067</t>
  </si>
  <si>
    <t xml:space="preserve">87,792.00</t>
  </si>
  <si>
    <t xml:space="preserve">PO-6873</t>
  </si>
  <si>
    <t xml:space="preserve">hr/25-26/02387</t>
  </si>
  <si>
    <t xml:space="preserve">05/02/2026</t>
  </si>
  <si>
    <t xml:space="preserve">07/03/2026</t>
  </si>
  <si>
    <t xml:space="preserve">84,252.00</t>
  </si>
  <si>
    <t xml:space="preserve">PO/25/374</t>
  </si>
  <si>
    <t xml:space="preserve">HR/26-27/00400</t>
  </si>
  <si>
    <t xml:space="preserve">2026-05-29</t>
  </si>
  <si>
    <t xml:space="preserve">2,13,108.00</t>
  </si>
  <si>
    <t xml:space="preserve">PO-6485</t>
  </si>
  <si>
    <t xml:space="preserve">HR/25-26/03299</t>
  </si>
  <si>
    <t xml:space="preserve">13/03/2026</t>
  </si>
  <si>
    <t xml:space="preserve">12/04/2026</t>
  </si>
  <si>
    <t xml:space="preserve">₹ 49,442.00</t>
  </si>
  <si>
    <t xml:space="preserve">PO-9972</t>
  </si>
  <si>
    <t xml:space="preserve">short pmt</t>
  </si>
  <si>
    <t xml:space="preserve">CN/26-27/0063</t>
  </si>
  <si>
    <t xml:space="preserve">30/07/2026</t>
  </si>
  <si>
    <t xml:space="preserve">-20,000.00</t>
  </si>
  <si>
    <t xml:space="preserve">HR/26-27/01187</t>
  </si>
  <si>
    <t xml:space="preserve">07/09/2026</t>
  </si>
  <si>
    <t xml:space="preserve">7,043.76</t>
  </si>
  <si>
    <t xml:space="preserve">PO-1217</t>
  </si>
  <si>
    <t xml:space="preserve">HR/26-27/01191</t>
  </si>
  <si>
    <t xml:space="preserve">₹ 51,344.31</t>
  </si>
  <si>
    <t xml:space="preserve">WO-482</t>
  </si>
  <si>
    <t xml:space="preserve">Page 3 of 13</t>
  </si>
  <si>
    <t xml:space="preserve">C 10084</t>
  </si>
  <si>
    <t xml:space="preserve">HR/26-27/01271</t>
  </si>
  <si>
    <t xml:space="preserve">17/08/2026</t>
  </si>
  <si>
    <t xml:space="preserve">16/09/2026</t>
  </si>
  <si>
    <t xml:space="preserve">32,450.00 </t>
  </si>
  <si>
    <t xml:space="preserve">PO-3765</t>
  </si>
  <si>
    <t xml:space="preserve">HR/26-27/01421</t>
  </si>
  <si>
    <t xml:space="preserve">23-Aug-26</t>
  </si>
  <si>
    <t xml:space="preserve">22/09/2026</t>
  </si>
  <si>
    <t xml:space="preserve">110,212.00</t>
  </si>
  <si>
    <t xml:space="preserve">per mail</t>
  </si>
  <si>
    <t xml:space="preserve">DN/26-27/0035</t>
  </si>
  <si>
    <t xml:space="preserve">4,458.50</t>
  </si>
  <si>
    <t xml:space="preserve">PO/25/836</t>
  </si>
  <si>
    <t xml:space="preserve">6,20,102.57</t>
  </si>
  <si>
    <t xml:space="preserve">C10086</t>
  </si>
  <si>
    <t xml:space="preserve">Hebbal Foundry Works</t>
  </si>
  <si>
    <t xml:space="preserve">HR/24-25/03833</t>
  </si>
  <si>
    <t xml:space="preserve">19/03/2025</t>
  </si>
  <si>
    <t xml:space="preserve">18/05/2025</t>
  </si>
  <si>
    <t xml:space="preserve">120649.62</t>
  </si>
  <si>
    <t xml:space="preserve">PO-7589</t>
  </si>
  <si>
    <t xml:space="preserve">HR/25-26/02988</t>
  </si>
  <si>
    <t xml:space="preserve">27/02/2026</t>
  </si>
  <si>
    <t xml:space="preserve">157,416.33</t>
  </si>
  <si>
    <t xml:space="preserve">PO-9480</t>
  </si>
  <si>
    <t xml:space="preserve">HR/26-27/00298</t>
  </si>
  <si>
    <t xml:space="preserve">101,008.00</t>
  </si>
  <si>
    <t xml:space="preserve">CN/26-27/0042</t>
  </si>
  <si>
    <t xml:space="preserve">06/06/2026</t>
  </si>
  <si>
    <t xml:space="preserve">-69,774.43</t>
  </si>
  <si>
    <t xml:space="preserve">cn/26-27/0047</t>
  </si>
  <si>
    <t xml:space="preserve">-76,887.93</t>
  </si>
  <si>
    <t xml:space="preserve">rate diff</t>
  </si>
  <si>
    <t xml:space="preserve">HR/26-27/00618</t>
  </si>
  <si>
    <t xml:space="preserve">04/07/2026</t>
  </si>
  <si>
    <t xml:space="preserve">23,364.00</t>
  </si>
  <si>
    <t xml:space="preserve">IMRAN S</t>
  </si>
  <si>
    <t xml:space="preserve">PO/25/535</t>
  </si>
  <si>
    <t xml:space="preserve">HR/26-27/00868</t>
  </si>
  <si>
    <t xml:space="preserve">2026-07-21</t>
  </si>
  <si>
    <t xml:space="preserve">2026-08-20</t>
  </si>
  <si>
    <t xml:space="preserve">145,055.02 </t>
  </si>
  <si>
    <t xml:space="preserve">PO-3398</t>
  </si>
  <si>
    <t xml:space="preserve"> HR/26-27/00834</t>
  </si>
  <si>
    <t xml:space="preserve">41,300.00</t>
  </si>
  <si>
    <t xml:space="preserve">PO-6754</t>
  </si>
  <si>
    <t xml:space="preserve">HR/26-27/01484</t>
  </si>
  <si>
    <t xml:space="preserve">25/08/2026</t>
  </si>
  <si>
    <t xml:space="preserve">Rs. 14,673.52</t>
  </si>
  <si>
    <t xml:space="preserve">4575790834</t>
  </si>
  <si>
    <t xml:space="preserve">HR/26-27/02036</t>
  </si>
  <si>
    <t xml:space="preserve">16/10/2026</t>
  </si>
  <si>
    <t xml:space="preserve">12,62,984.54</t>
  </si>
  <si>
    <t xml:space="preserve">PO/26/626</t>
  </si>
  <si>
    <t xml:space="preserve">17,19,788.67</t>
  </si>
  <si>
    <t xml:space="preserve">C10091</t>
  </si>
  <si>
    <t xml:space="preserve">Chamundi Industrial Gases</t>
  </si>
  <si>
    <t xml:space="preserve">HR/25-26/02383</t>
  </si>
  <si>
    <t xml:space="preserve">29/01/2026</t>
  </si>
  <si>
    <t xml:space="preserve">28/02/2026</t>
  </si>
  <si>
    <t xml:space="preserve">167,442.00 </t>
  </si>
  <si>
    <t xml:space="preserve">RAMESH KUMAR</t>
  </si>
  <si>
    <t xml:space="preserve">PO-5800</t>
  </si>
  <si>
    <t xml:space="preserve">HR/ 25-26/04141</t>
  </si>
  <si>
    <t xml:space="preserve">30-Mar-26</t>
  </si>
  <si>
    <t xml:space="preserve">29-Apr-26</t>
  </si>
  <si>
    <t xml:space="preserve">99,120.00</t>
  </si>
  <si>
    <t xml:space="preserve">HR/26-27/00192</t>
  </si>
  <si>
    <t xml:space="preserve">06/05/2026</t>
  </si>
  <si>
    <t xml:space="preserve">₹ 279,188.00</t>
  </si>
  <si>
    <t xml:space="preserve">Ramesh K</t>
  </si>
  <si>
    <t xml:space="preserve">PO-9674</t>
  </si>
  <si>
    <t xml:space="preserve">HR/26-27/01092</t>
  </si>
  <si>
    <t xml:space="preserve">2026-08-02</t>
  </si>
  <si>
    <t xml:space="preserve">2026-09-01</t>
  </si>
  <si>
    <t xml:space="preserve">15,694</t>
  </si>
  <si>
    <t xml:space="preserve">PO-7665</t>
  </si>
  <si>
    <t xml:space="preserve">HR/26-27/00582</t>
  </si>
  <si>
    <t xml:space="preserve">01/07/2026</t>
  </si>
  <si>
    <t xml:space="preserve">31/07/2026</t>
  </si>
  <si>
    <t xml:space="preserve">107,184.00</t>
  </si>
  <si>
    <t xml:space="preserve">PO-1883</t>
  </si>
  <si>
    <t xml:space="preserve">HR/26-27/01736</t>
  </si>
  <si>
    <t xml:space="preserve">05-Sep-26</t>
  </si>
  <si>
    <t xml:space="preserve">05-Oct-26</t>
  </si>
  <si>
    <t xml:space="preserve">109,268.00</t>
  </si>
  <si>
    <t xml:space="preserve">4587416161</t>
  </si>
  <si>
    <t xml:space="preserve">hr/26-27/02298</t>
  </si>
  <si>
    <t xml:space="preserve">22/10/2026</t>
  </si>
  <si>
    <t xml:space="preserve">162,014</t>
  </si>
  <si>
    <t xml:space="preserve">ramesh k.</t>
  </si>
  <si>
    <t xml:space="preserve">RCT/26-27/00559</t>
  </si>
  <si>
    <t xml:space="preserve">-177,400.00</t>
  </si>
  <si>
    <t xml:space="preserve">R. Kumar</t>
  </si>
  <si>
    <t xml:space="preserve">NEFT 7001418402</t>
  </si>
  <si>
    <t xml:space="preserve">HR/ 26-27/02407</t>
  </si>
  <si>
    <t xml:space="preserve">99,474</t>
  </si>
  <si>
    <t xml:space="preserve">4554658334</t>
  </si>
  <si>
    <t xml:space="preserve">8,61,984.00</t>
  </si>
  <si>
    <t xml:space="preserve">C10099</t>
  </si>
  <si>
    <t xml:space="preserve">Bellandur Fabrication</t>
  </si>
  <si>
    <t xml:space="preserve">HR/26-27/00378</t>
  </si>
  <si>
    <t xml:space="preserve">28/05/2026</t>
  </si>
  <si>
    <t xml:space="preserve">27/06/2026</t>
  </si>
  <si>
    <t xml:space="preserve">40,120.00 </t>
  </si>
  <si>
    <t xml:space="preserve">WO-921</t>
  </si>
  <si>
    <t xml:space="preserve">HR/26-27/01641</t>
  </si>
  <si>
    <t xml:space="preserve">01-Oct-26</t>
  </si>
  <si>
    <t xml:space="preserve">24,898.00</t>
  </si>
  <si>
    <t xml:space="preserve">PO-6362</t>
  </si>
  <si>
    <t xml:space="preserve">65,018.00</t>
  </si>
  <si>
    <t xml:space="preserve">C10109</t>
  </si>
  <si>
    <t xml:space="preserve">KAVERI AUTO COMPONENTS PVT LTD</t>
  </si>
  <si>
    <t xml:space="preserve">HR/25-26/00389</t>
  </si>
  <si>
    <t xml:space="preserve">23/09/2025</t>
  </si>
  <si>
    <t xml:space="preserve">07/11/2025</t>
  </si>
  <si>
    <t xml:space="preserve">551050.91</t>
  </si>
  <si>
    <t xml:space="preserve">prakash</t>
  </si>
  <si>
    <t xml:space="preserve">HR/26-27/01626</t>
  </si>
  <si>
    <t xml:space="preserve">31/08/2026</t>
  </si>
  <si>
    <t xml:space="preserve">15/10/2025</t>
  </si>
  <si>
    <t xml:space="preserve">₹ 109,694.50</t>
  </si>
  <si>
    <t xml:space="preserve">HR/26-27/01764</t>
  </si>
  <si>
    <t xml:space="preserve">06-Sep-26</t>
  </si>
  <si>
    <t xml:space="preserve">21-Oct-26</t>
  </si>
  <si>
    <t xml:space="preserve">184039.65 </t>
  </si>
  <si>
    <t xml:space="preserve">PO-4218</t>
  </si>
  <si>
    <t xml:space="preserve">8,44,785.06</t>
  </si>
  <si>
    <t xml:space="preserve">c10112</t>
  </si>
  <si>
    <t xml:space="preserve">Lotus Pharma Packaging Pvt Ltd</t>
  </si>
  <si>
    <t xml:space="preserve">HR/25-26/01706</t>
  </si>
  <si>
    <t xml:space="preserve">01/01/2026</t>
  </si>
  <si>
    <t xml:space="preserve">02/03/2026</t>
  </si>
  <si>
    <t xml:space="preserve">4,01,500.90</t>
  </si>
  <si>
    <t xml:space="preserve">PO/25/680</t>
  </si>
  <si>
    <t xml:space="preserve">HR/25-26/02618</t>
  </si>
  <si>
    <t xml:space="preserve">14/02/2026</t>
  </si>
  <si>
    <t xml:space="preserve">15/04/2026</t>
  </si>
  <si>
    <t xml:space="preserve">Rs. 35,518.00</t>
  </si>
  <si>
    <t xml:space="preserve">PO-7018</t>
  </si>
  <si>
    <t xml:space="preserve">DISP</t>
  </si>
  <si>
    <t xml:space="preserve">HR/25-26/03889</t>
  </si>
  <si>
    <t xml:space="preserve">27.03.2026</t>
  </si>
  <si>
    <t xml:space="preserve">26.05.2026</t>
  </si>
  <si>
    <t xml:space="preserve">₹ 40,612.07</t>
  </si>
  <si>
    <t xml:space="preserve">NET60</t>
  </si>
  <si>
    <t xml:space="preserve">WO-474</t>
  </si>
  <si>
    <t xml:space="preserve">HR/26-27/00041</t>
  </si>
  <si>
    <t xml:space="preserve">16/04/2026</t>
  </si>
  <si>
    <t xml:space="preserve">15/06/2026</t>
  </si>
  <si>
    <t xml:space="preserve">227,080.33 </t>
  </si>
  <si>
    <t xml:space="preserve">PO-9932</t>
  </si>
  <si>
    <t xml:space="preserve">HR/26-27/00196</t>
  </si>
  <si>
    <t xml:space="preserve">09/05/2026</t>
  </si>
  <si>
    <t xml:space="preserve">54,398.00</t>
  </si>
  <si>
    <t xml:space="preserve">HR/26-27/00385</t>
  </si>
  <si>
    <t xml:space="preserve">46170</t>
  </si>
  <si>
    <t xml:space="preserve">46230</t>
  </si>
  <si>
    <t xml:space="preserve">873,600</t>
  </si>
  <si>
    <t xml:space="preserve">nil</t>
  </si>
  <si>
    <t xml:space="preserve">CN/26-27/0045</t>
  </si>
  <si>
    <t xml:space="preserve">12/06/2026</t>
  </si>
  <si>
    <t xml:space="preserve">(41,196.19)</t>
  </si>
  <si>
    <t xml:space="preserve">HR/26-27/00585</t>
  </si>
  <si>
    <t xml:space="preserve">02-Jul-26</t>
  </si>
  <si>
    <t xml:space="preserve">31-Aug-26</t>
  </si>
  <si>
    <t xml:space="preserve">91,294.81</t>
  </si>
  <si>
    <t xml:space="preserve">HR/ 26-27/00809</t>
  </si>
  <si>
    <t xml:space="preserve">19/07/2026</t>
  </si>
  <si>
    <t xml:space="preserve">32368.00</t>
  </si>
  <si>
    <t xml:space="preserve">HR/26-27/01125</t>
  </si>
  <si>
    <t xml:space="preserve">02/10/2026</t>
  </si>
  <si>
    <t xml:space="preserve">9,667.42</t>
  </si>
  <si>
    <t xml:space="preserve">WO-694</t>
  </si>
  <si>
    <t xml:space="preserve">RCT/26-27/00107</t>
  </si>
  <si>
    <t xml:space="preserve">-140,000.00</t>
  </si>
  <si>
    <t xml:space="preserve">CHQ 896350</t>
  </si>
  <si>
    <t xml:space="preserve"> HR/26-27/01198</t>
  </si>
  <si>
    <t xml:space="preserve">08/10/2025</t>
  </si>
  <si>
    <t xml:space="preserve">43,934.86</t>
  </si>
  <si>
    <t xml:space="preserve">WO-760</t>
  </si>
  <si>
    <t xml:space="preserve">  HR/26-27/01227 </t>
  </si>
  <si>
    <t xml:space="preserve">15/08/2026</t>
  </si>
  <si>
    <t xml:space="preserve">14/10/2026</t>
  </si>
  <si>
    <t xml:space="preserve">36816.00</t>
  </si>
  <si>
    <t xml:space="preserve">PO-7333</t>
  </si>
  <si>
    <t xml:space="preserve">Page 4 of 13</t>
  </si>
  <si>
    <t xml:space="preserve">HR/26-27/01556</t>
  </si>
  <si>
    <t xml:space="preserve">38,640.00</t>
  </si>
  <si>
    <t xml:space="preserve">Verbal</t>
  </si>
  <si>
    <t xml:space="preserve">HR/26-27/01827</t>
  </si>
  <si>
    <t xml:space="preserve">08.09.2026</t>
  </si>
  <si>
    <t xml:space="preserve">07.11.2026</t>
  </si>
  <si>
    <t xml:space="preserve">111,194.75</t>
  </si>
  <si>
    <t xml:space="preserve">4577855741</t>
  </si>
  <si>
    <t xml:space="preserve">HR/26-27/01890</t>
  </si>
  <si>
    <t xml:space="preserve">08-Nov-26</t>
  </si>
  <si>
    <t xml:space="preserve">439,786.00</t>
  </si>
  <si>
    <t xml:space="preserve">HR/26-27/01644</t>
  </si>
  <si>
    <t xml:space="preserve">31/10/2026</t>
  </si>
  <si>
    <t xml:space="preserve">194,110.00</t>
  </si>
  <si>
    <t xml:space="preserve">PO-6550</t>
  </si>
  <si>
    <t xml:space="preserve">HR/26-27/01943</t>
  </si>
  <si>
    <t xml:space="preserve">Rs. 161,188.00</t>
  </si>
  <si>
    <t xml:space="preserve">PO/26/262</t>
  </si>
  <si>
    <t xml:space="preserve">HR/26-27/02029</t>
  </si>
  <si>
    <t xml:space="preserve">20,150.73</t>
  </si>
  <si>
    <t xml:space="preserve">60 days</t>
  </si>
  <si>
    <t xml:space="preserve">PO-4923</t>
  </si>
  <si>
    <t xml:space="preserve">CN/26-27/0144</t>
  </si>
  <si>
    <t xml:space="preserve">(47,600.00)</t>
  </si>
  <si>
    <t xml:space="preserve">HR/26-27/02397</t>
  </si>
  <si>
    <t xml:space="preserve">2026-09-27</t>
  </si>
  <si>
    <t xml:space="preserve">2026-11-26</t>
  </si>
  <si>
    <t xml:space="preserve">44,800.00</t>
  </si>
  <si>
    <t xml:space="preserve">WO-764</t>
  </si>
  <si>
    <t xml:space="preserve">JV/26-27/0041</t>
  </si>
  <si>
    <t xml:space="preserve">10,145.13-</t>
  </si>
  <si>
    <t xml:space="preserve">HR/26-27/02445</t>
  </si>
  <si>
    <t xml:space="preserve">29/11/2026</t>
  </si>
  <si>
    <t xml:space="preserve">₹ 20,060.00 </t>
  </si>
  <si>
    <t xml:space="preserve">4595191518</t>
  </si>
  <si>
    <t xml:space="preserve">26,37,778.55</t>
  </si>
  <si>
    <t xml:space="preserve">C10117</t>
  </si>
  <si>
    <t xml:space="preserve">Krishna Rao &amp; Sons</t>
  </si>
  <si>
    <t xml:space="preserve">HR/26-27/01203</t>
  </si>
  <si>
    <t xml:space="preserve">10/08/2026</t>
  </si>
  <si>
    <t xml:space="preserve">29,028.00</t>
  </si>
  <si>
    <t xml:space="preserve">PO-6697</t>
  </si>
  <si>
    <t xml:space="preserve">C10127</t>
  </si>
  <si>
    <t xml:space="preserve">MADURAI TEXTILE MACHINERY</t>
  </si>
  <si>
    <t xml:space="preserve">HR/ 26-27/00620</t>
  </si>
  <si>
    <t xml:space="preserve">2026-07-04</t>
  </si>
  <si>
    <t xml:space="preserve">2026-09-02</t>
  </si>
  <si>
    <t xml:space="preserve">439,668.00</t>
  </si>
  <si>
    <t xml:space="preserve">PO-5947</t>
  </si>
  <si>
    <t xml:space="preserve">HR/26-27/00733</t>
  </si>
  <si>
    <t xml:space="preserve">1,03,040.00</t>
  </si>
  <si>
    <t xml:space="preserve">PO-8474</t>
  </si>
  <si>
    <t xml:space="preserve">HR/26-27/00668</t>
  </si>
  <si>
    <t xml:space="preserve">07/07/2026</t>
  </si>
  <si>
    <t xml:space="preserve">65,608</t>
  </si>
  <si>
    <t xml:space="preserve">HR/26-27/00869</t>
  </si>
  <si>
    <t xml:space="preserve">107,262.00</t>
  </si>
  <si>
    <t xml:space="preserve">Imran S.</t>
  </si>
  <si>
    <t xml:space="preserve">PO-8622</t>
  </si>
  <si>
    <t xml:space="preserve">HR/26-27/01078</t>
  </si>
  <si>
    <t xml:space="preserve">01/08/2026</t>
  </si>
  <si>
    <t xml:space="preserve">198,476.00</t>
  </si>
  <si>
    <t xml:space="preserve">JV/26-27/0035</t>
  </si>
  <si>
    <t xml:space="preserve">(18,789.35)</t>
  </si>
  <si>
    <t xml:space="preserve">HR/26-27/02076</t>
  </si>
  <si>
    <t xml:space="preserve">16-Sep-26</t>
  </si>
  <si>
    <t xml:space="preserve">15-Nov-26</t>
  </si>
  <si>
    <t xml:space="preserve">Rs. 21,948.00</t>
  </si>
  <si>
    <t xml:space="preserve">WO-751</t>
  </si>
  <si>
    <t xml:space="preserve">HR/26-27/02216</t>
  </si>
  <si>
    <t xml:space="preserve">8,960.00</t>
  </si>
  <si>
    <t xml:space="preserve">RCT/26-27/00625</t>
  </si>
  <si>
    <t xml:space="preserve">ADV</t>
  </si>
  <si>
    <t xml:space="preserve">53,900.00</t>
  </si>
  <si>
    <t xml:space="preserve">HR/26-27/02300</t>
  </si>
  <si>
    <t xml:space="preserve">22-Sep-26</t>
  </si>
  <si>
    <t xml:space="preserve">21-Nov-26</t>
  </si>
  <si>
    <t xml:space="preserve">19,706.00</t>
  </si>
  <si>
    <t xml:space="preserve">WO-806</t>
  </si>
  <si>
    <t xml:space="preserve">HR/26-27/02469</t>
  </si>
  <si>
    <t xml:space="preserve">35,200.44</t>
  </si>
  <si>
    <t xml:space="preserve">WO-514</t>
  </si>
  <si>
    <t xml:space="preserve">9,27,179.09</t>
  </si>
  <si>
    <t xml:space="preserve">C10132</t>
  </si>
  <si>
    <t xml:space="preserve">Whitefield Electronics Pvt Ltd</t>
  </si>
  <si>
    <t xml:space="preserve">HR/25-26/00064</t>
  </si>
  <si>
    <t xml:space="preserve">10.06.2025</t>
  </si>
  <si>
    <t xml:space="preserve">25/07/2025</t>
  </si>
  <si>
    <t xml:space="preserve">107,876.25 </t>
  </si>
  <si>
    <t xml:space="preserve">HR/25-26/00501</t>
  </si>
  <si>
    <t xml:space="preserve">11/10/2025</t>
  </si>
  <si>
    <t xml:space="preserve">26,656.00</t>
  </si>
  <si>
    <t xml:space="preserve">HR/25-26/03401</t>
  </si>
  <si>
    <t xml:space="preserve">16/03/2026</t>
  </si>
  <si>
    <t xml:space="preserve">442500.00</t>
  </si>
  <si>
    <t xml:space="preserve">I. Sheikh</t>
  </si>
  <si>
    <t xml:space="preserve">HR/26-27/00234</t>
  </si>
  <si>
    <t xml:space="preserve">11-May-26</t>
  </si>
  <si>
    <t xml:space="preserve">45,489.10</t>
  </si>
  <si>
    <t xml:space="preserve">WO-973</t>
  </si>
  <si>
    <t xml:space="preserve">call accounts dept</t>
  </si>
  <si>
    <t xml:space="preserve">HR/26-27/00178</t>
  </si>
  <si>
    <t xml:space="preserve">530,866.00</t>
  </si>
  <si>
    <t xml:space="preserve">PO-7827</t>
  </si>
  <si>
    <t xml:space="preserve">HR/26-27/00403</t>
  </si>
  <si>
    <t xml:space="preserve">01 Jun 2026</t>
  </si>
  <si>
    <t xml:space="preserve">16 Jul 2026</t>
  </si>
  <si>
    <t xml:space="preserve">21,122.00</t>
  </si>
  <si>
    <t xml:space="preserve">PO/26/913</t>
  </si>
  <si>
    <t xml:space="preserve">tds deducted - cert awaited</t>
  </si>
  <si>
    <t xml:space="preserve">HR/26-27/00948</t>
  </si>
  <si>
    <t xml:space="preserve">24/07/2026</t>
  </si>
  <si>
    <t xml:space="preserve">245,778.98</t>
  </si>
  <si>
    <t xml:space="preserve">PO-8711</t>
  </si>
  <si>
    <t xml:space="preserve">wrong GST rate - CN pending</t>
  </si>
  <si>
    <t xml:space="preserve">HR/26-27/01265</t>
  </si>
  <si>
    <t xml:space="preserve">121,184.00</t>
  </si>
  <si>
    <t xml:space="preserve">PO-5038</t>
  </si>
  <si>
    <t xml:space="preserve">HR/26-27/01616</t>
  </si>
  <si>
    <t xml:space="preserve">15/10/2026</t>
  </si>
  <si>
    <t xml:space="preserve">277,064.00</t>
  </si>
  <si>
    <t xml:space="preserve">4536815682</t>
  </si>
  <si>
    <t xml:space="preserve">HR/26-27/02074</t>
  </si>
  <si>
    <t xml:space="preserve">2026-09-16</t>
  </si>
  <si>
    <t xml:space="preserve">34,692.00</t>
  </si>
  <si>
    <t xml:space="preserve">PO-4419</t>
  </si>
  <si>
    <t xml:space="preserve">HR/26-27/02114</t>
  </si>
  <si>
    <t xml:space="preserve">18-Sep-26</t>
  </si>
  <si>
    <t xml:space="preserve">18-Oct-26</t>
  </si>
  <si>
    <t xml:space="preserve">92,615.06</t>
  </si>
  <si>
    <t xml:space="preserve">19,45,843.39</t>
  </si>
  <si>
    <t xml:space="preserve">C10136</t>
  </si>
  <si>
    <t xml:space="preserve">Cauvery Polymers Pvt Ltd</t>
  </si>
  <si>
    <t xml:space="preserve">HR/25-26/01539</t>
  </si>
  <si>
    <t xml:space="preserve">25/12/2025</t>
  </si>
  <si>
    <t xml:space="preserve">08/02/2026</t>
  </si>
  <si>
    <t xml:space="preserve">14,595</t>
  </si>
  <si>
    <t xml:space="preserve">PO-2174</t>
  </si>
  <si>
    <t xml:space="preserve">hr/26-27/01037</t>
  </si>
  <si>
    <t xml:space="preserve">27/07/2026</t>
  </si>
  <si>
    <t xml:space="preserve">26/08/2026</t>
  </si>
  <si>
    <t xml:space="preserve">29,630.30</t>
  </si>
  <si>
    <t xml:space="preserve">RCT/26-27/00270</t>
  </si>
  <si>
    <t xml:space="preserve">(1,22,000.00) </t>
  </si>
  <si>
    <t xml:space="preserve">NEFT 3563157401</t>
  </si>
  <si>
    <t xml:space="preserve">77,774.70-</t>
  </si>
  <si>
    <t xml:space="preserve">C10141</t>
  </si>
  <si>
    <t xml:space="preserve">kumaran alloys</t>
  </si>
  <si>
    <t xml:space="preserve">hr/25-26/00203</t>
  </si>
  <si>
    <t xml:space="preserve">24/06/2025</t>
  </si>
  <si>
    <t xml:space="preserve">24/07/2025</t>
  </si>
  <si>
    <t xml:space="preserve">Rs. 63,233.95</t>
  </si>
  <si>
    <t xml:space="preserve">PO/26/908</t>
  </si>
  <si>
    <t xml:space="preserve">HR/25-26/02284</t>
  </si>
  <si>
    <t xml:space="preserve">22.01.2026</t>
  </si>
  <si>
    <t xml:space="preserve">21.02.2026</t>
  </si>
  <si>
    <t xml:space="preserve">8,260.00</t>
  </si>
  <si>
    <t xml:space="preserve">PO-1628</t>
  </si>
  <si>
    <t xml:space="preserve">HR/ 25-26/04190</t>
  </si>
  <si>
    <t xml:space="preserve">30/03/2026</t>
  </si>
  <si>
    <t xml:space="preserve">29/04/2026</t>
  </si>
  <si>
    <t xml:space="preserve">1,44,419.21</t>
  </si>
  <si>
    <t xml:space="preserve">WO-693</t>
  </si>
  <si>
    <t xml:space="preserve">Page 5 of 13</t>
  </si>
  <si>
    <t xml:space="preserve">HR/ 26-27/00017</t>
  </si>
  <si>
    <t xml:space="preserve">09 Apr 2026</t>
  </si>
  <si>
    <t xml:space="preserve">09 May 2026</t>
  </si>
  <si>
    <t xml:space="preserve">34,220.00</t>
  </si>
  <si>
    <t xml:space="preserve">PO/26/732</t>
  </si>
  <si>
    <t xml:space="preserve">HR/26-27/00312</t>
  </si>
  <si>
    <t xml:space="preserve">230100.00</t>
  </si>
  <si>
    <t xml:space="preserve">PO-8860</t>
  </si>
  <si>
    <t xml:space="preserve">HR/26-27/01097</t>
  </si>
  <si>
    <t xml:space="preserve">102,660.00</t>
  </si>
  <si>
    <t xml:space="preserve">5,82,893.16</t>
  </si>
  <si>
    <t xml:space="preserve">c10150</t>
  </si>
  <si>
    <t xml:space="preserve">Ganga Industrial Supplies</t>
  </si>
  <si>
    <t xml:space="preserve"> HR/26-27/00029 </t>
  </si>
  <si>
    <t xml:space="preserve">12-Apr-26</t>
  </si>
  <si>
    <t xml:space="preserve">12-May-26</t>
  </si>
  <si>
    <t xml:space="preserve">₹ 10,752.00</t>
  </si>
  <si>
    <t xml:space="preserve">PO-5073</t>
  </si>
  <si>
    <t xml:space="preserve">HR/26-27/01308</t>
  </si>
  <si>
    <t xml:space="preserve">18/08/2026</t>
  </si>
  <si>
    <t xml:space="preserve">61,360.00</t>
  </si>
  <si>
    <t xml:space="preserve"> HR/26-27/01353 </t>
  </si>
  <si>
    <t xml:space="preserve">18,659.87</t>
  </si>
  <si>
    <t xml:space="preserve">PO/25/434</t>
  </si>
  <si>
    <t xml:space="preserve"> HR/26-27/02183</t>
  </si>
  <si>
    <t xml:space="preserve">19/10/2026</t>
  </si>
  <si>
    <t xml:space="preserve">72,960.00</t>
  </si>
  <si>
    <t xml:space="preserve">PO-2922</t>
  </si>
  <si>
    <t xml:space="preserve">HR/26-27/02315</t>
  </si>
  <si>
    <t xml:space="preserve">23/09/2026</t>
  </si>
  <si>
    <t xml:space="preserve">23/10/2026</t>
  </si>
  <si>
    <t xml:space="preserve">45,573.45</t>
  </si>
  <si>
    <t xml:space="preserve">WO-112</t>
  </si>
  <si>
    <t xml:space="preserve">HR/26-27/02420</t>
  </si>
  <si>
    <t xml:space="preserve">17582.00</t>
  </si>
  <si>
    <t xml:space="preserve">2,26,887.32</t>
  </si>
  <si>
    <t xml:space="preserve">C10154</t>
  </si>
  <si>
    <t xml:space="preserve">Bannerghatta Plastics</t>
  </si>
  <si>
    <t xml:space="preserve">hr/26-27/00273</t>
  </si>
  <si>
    <t xml:space="preserve">18/05/2026</t>
  </si>
  <si>
    <t xml:space="preserve">103,520.37</t>
  </si>
  <si>
    <t xml:space="preserve">HR/26-27/00563</t>
  </si>
  <si>
    <t xml:space="preserve">26-Jun-26</t>
  </si>
  <si>
    <t xml:space="preserve">26-Jul-26</t>
  </si>
  <si>
    <t xml:space="preserve">21,487.86</t>
  </si>
  <si>
    <t xml:space="preserve">HR/26-27/01107</t>
  </si>
  <si>
    <t xml:space="preserve">2,88,392.00</t>
  </si>
  <si>
    <t xml:space="preserve">PO/25/710</t>
  </si>
  <si>
    <t xml:space="preserve">CN/26-27/0092</t>
  </si>
  <si>
    <t xml:space="preserve">(45,600.00)</t>
  </si>
  <si>
    <t xml:space="preserve">HR/26-27/01892</t>
  </si>
  <si>
    <t xml:space="preserve">27,140.00</t>
  </si>
  <si>
    <t xml:space="preserve">PO/26/221</t>
  </si>
  <si>
    <t xml:space="preserve">HR/26-27/02358</t>
  </si>
  <si>
    <t xml:space="preserve">13,895.49</t>
  </si>
  <si>
    <t xml:space="preserve">PO/25/666</t>
  </si>
  <si>
    <t xml:space="preserve">4,08,835.72</t>
  </si>
  <si>
    <t xml:space="preserve">C-10156</t>
  </si>
  <si>
    <t xml:space="preserve">Nilgiri Tea Estates Pvt. Ltd.</t>
  </si>
  <si>
    <t xml:space="preserve">HR/25-26/02973</t>
  </si>
  <si>
    <t xml:space="preserve">21/02/2026</t>
  </si>
  <si>
    <t xml:space="preserve">23-Mar-26</t>
  </si>
  <si>
    <t xml:space="preserve">105280.00</t>
  </si>
  <si>
    <t xml:space="preserve">PO-9512</t>
  </si>
  <si>
    <t xml:space="preserve">  CN/25-26/0143</t>
  </si>
  <si>
    <t xml:space="preserve">11-Mar-26</t>
  </si>
  <si>
    <t xml:space="preserve">(47,000.00)</t>
  </si>
  <si>
    <t xml:space="preserve">HR/25-26/01187</t>
  </si>
  <si>
    <t xml:space="preserve">13/12/2025</t>
  </si>
  <si>
    <t xml:space="preserve">12/01/2026</t>
  </si>
  <si>
    <t xml:space="preserve">18,644.00</t>
  </si>
  <si>
    <t xml:space="preserve">PO-2383</t>
  </si>
  <si>
    <t xml:space="preserve">HR/26-27/00001</t>
  </si>
  <si>
    <t xml:space="preserve">01.04.2026</t>
  </si>
  <si>
    <t xml:space="preserve">01.05.2026</t>
  </si>
  <si>
    <t xml:space="preserve">74,576.00 </t>
  </si>
  <si>
    <t xml:space="preserve">PO/25/650</t>
  </si>
  <si>
    <t xml:space="preserve">HR/25-26/03689</t>
  </si>
  <si>
    <t xml:space="preserve">24/03/2026</t>
  </si>
  <si>
    <t xml:space="preserve">23/04/2026</t>
  </si>
  <si>
    <t xml:space="preserve">145,746.40</t>
  </si>
  <si>
    <t xml:space="preserve">4563266775</t>
  </si>
  <si>
    <t xml:space="preserve">HR/26-27/00262</t>
  </si>
  <si>
    <t xml:space="preserve">11,682.00</t>
  </si>
  <si>
    <t xml:space="preserve">HR/26-27/00490</t>
  </si>
  <si>
    <t xml:space="preserve">19-Jun-26</t>
  </si>
  <si>
    <t xml:space="preserve">19-Jul-26</t>
  </si>
  <si>
    <t xml:space="preserve">24,658.70</t>
  </si>
  <si>
    <t xml:space="preserve">WO-384</t>
  </si>
  <si>
    <t xml:space="preserve">HR/26-27/00653</t>
  </si>
  <si>
    <t xml:space="preserve">07.07.2026</t>
  </si>
  <si>
    <t xml:space="preserve">06.08.2025</t>
  </si>
  <si>
    <t xml:space="preserve">3,200.00</t>
  </si>
  <si>
    <t xml:space="preserve">PO-9521</t>
  </si>
  <si>
    <t xml:space="preserve">HR/26-27/00885</t>
  </si>
  <si>
    <t xml:space="preserve">22.07.2026</t>
  </si>
  <si>
    <t xml:space="preserve">21.08.2026</t>
  </si>
  <si>
    <t xml:space="preserve">80,240.00</t>
  </si>
  <si>
    <t xml:space="preserve">WO-781</t>
  </si>
  <si>
    <t xml:space="preserve">HR/26-27/00779</t>
  </si>
  <si>
    <t xml:space="preserve">16/07/2026</t>
  </si>
  <si>
    <t xml:space="preserve">20,773.97</t>
  </si>
  <si>
    <t xml:space="preserve">HR/26-27/00961</t>
  </si>
  <si>
    <t xml:space="preserve">25/07/2026</t>
  </si>
  <si>
    <t xml:space="preserve">24/08/2026</t>
  </si>
  <si>
    <t xml:space="preserve">63,823.84</t>
  </si>
  <si>
    <t xml:space="preserve">  HR/26-27/01325 </t>
  </si>
  <si>
    <t xml:space="preserve">29,736.00</t>
  </si>
  <si>
    <t xml:space="preserve">PO/26/836</t>
  </si>
  <si>
    <t xml:space="preserve">HR/26-27/01351</t>
  </si>
  <si>
    <t xml:space="preserve">27,943.91</t>
  </si>
  <si>
    <t xml:space="preserve">PO-9036</t>
  </si>
  <si>
    <t xml:space="preserve">HR/26-27/01970</t>
  </si>
  <si>
    <t xml:space="preserve">29-Oct-26</t>
  </si>
  <si>
    <t xml:space="preserve">60,180.00</t>
  </si>
  <si>
    <t xml:space="preserve">WO-281</t>
  </si>
  <si>
    <t xml:space="preserve">HR/26-27/02092</t>
  </si>
  <si>
    <t xml:space="preserve">18,269.01</t>
  </si>
  <si>
    <t xml:space="preserve">HR/26-27/02151</t>
  </si>
  <si>
    <t xml:space="preserve">18/10/2026</t>
  </si>
  <si>
    <t xml:space="preserve">31,860.00</t>
  </si>
  <si>
    <t xml:space="preserve">4521213145</t>
  </si>
  <si>
    <t xml:space="preserve">6,69,613.83</t>
  </si>
  <si>
    <t xml:space="preserve">C10165</t>
  </si>
  <si>
    <t xml:space="preserve">Indira Nagar Motors</t>
  </si>
  <si>
    <t xml:space="preserve">HR/26-27/01384</t>
  </si>
  <si>
    <t xml:space="preserve">06/09/2026</t>
  </si>
  <si>
    <t xml:space="preserve">₹ 390,580.00</t>
  </si>
  <si>
    <t xml:space="preserve">HR/26-27/01919</t>
  </si>
  <si>
    <t xml:space="preserve">₹ 86,258.00</t>
  </si>
  <si>
    <t xml:space="preserve">N15</t>
  </si>
  <si>
    <t xml:space="preserve">PO/25/611</t>
  </si>
  <si>
    <t xml:space="preserve">HR/26-27/02253</t>
  </si>
  <si>
    <t xml:space="preserve">06/10/2026</t>
  </si>
  <si>
    <t xml:space="preserve">₹ 14,592.61</t>
  </si>
  <si>
    <t xml:space="preserve">15 days</t>
  </si>
  <si>
    <t xml:space="preserve">PO-9206</t>
  </si>
  <si>
    <t xml:space="preserve">4,91,430.61</t>
  </si>
  <si>
    <t xml:space="preserve">C10171 </t>
  </si>
  <si>
    <t xml:space="preserve">Anand Electricals</t>
  </si>
  <si>
    <t xml:space="preserve">HR/26-27/00439</t>
  </si>
  <si>
    <t xml:space="preserve">08/06/2026</t>
  </si>
  <si>
    <t xml:space="preserve">25,984.00</t>
  </si>
  <si>
    <t xml:space="preserve">PO-9031</t>
  </si>
  <si>
    <t xml:space="preserve">Page 6 of 13</t>
  </si>
  <si>
    <t xml:space="preserve">HR/26-27/00995</t>
  </si>
  <si>
    <t xml:space="preserve">36,570.39</t>
  </si>
  <si>
    <t xml:space="preserve">WO-268</t>
  </si>
  <si>
    <t xml:space="preserve">  HR/26-27/01999 </t>
  </si>
  <si>
    <t xml:space="preserve">₹ 56,522.00</t>
  </si>
  <si>
    <t xml:space="preserve">PO/25/137</t>
  </si>
  <si>
    <t xml:space="preserve">CN/26-27/0134</t>
  </si>
  <si>
    <t xml:space="preserve">5,500.00</t>
  </si>
  <si>
    <t xml:space="preserve">HR/26-27/02299</t>
  </si>
  <si>
    <t xml:space="preserve">147,146.00</t>
  </si>
  <si>
    <t xml:space="preserve">WO-613</t>
  </si>
  <si>
    <t xml:space="preserve">2,60,722.39</t>
  </si>
  <si>
    <t xml:space="preserve">C10181</t>
  </si>
  <si>
    <t xml:space="preserve">KR PURAM COLD STORAGE</t>
  </si>
  <si>
    <t xml:space="preserve">HR/25-26/00492</t>
  </si>
  <si>
    <t xml:space="preserve">12,508.00</t>
  </si>
  <si>
    <t xml:space="preserve">WO-200</t>
  </si>
  <si>
    <t xml:space="preserve">HR/25-26/02315</t>
  </si>
  <si>
    <t xml:space="preserve">25.01.2026</t>
  </si>
  <si>
    <t xml:space="preserve">24.02.2026</t>
  </si>
  <si>
    <t xml:space="preserve">98,050.61</t>
  </si>
  <si>
    <t xml:space="preserve">WO-964</t>
  </si>
  <si>
    <t xml:space="preserve">HR/25-26/03533</t>
  </si>
  <si>
    <t xml:space="preserve">20/03/2026</t>
  </si>
  <si>
    <t xml:space="preserve">64782.00</t>
  </si>
  <si>
    <t xml:space="preserve">PO-4119</t>
  </si>
  <si>
    <t xml:space="preserve">HR/26-27/01182</t>
  </si>
  <si>
    <t xml:space="preserve">593,712.00</t>
  </si>
  <si>
    <t xml:space="preserve">4525807060</t>
  </si>
  <si>
    <t xml:space="preserve">HR/26-27/01183</t>
  </si>
  <si>
    <t xml:space="preserve">23,465.16</t>
  </si>
  <si>
    <t xml:space="preserve">4594690405</t>
  </si>
  <si>
    <t xml:space="preserve">HR/26-27/01219</t>
  </si>
  <si>
    <t xml:space="preserve">13.08.2026</t>
  </si>
  <si>
    <t xml:space="preserve">12.09.2026</t>
  </si>
  <si>
    <t xml:space="preserve">35,636.00</t>
  </si>
  <si>
    <t xml:space="preserve">PO/26/657</t>
  </si>
  <si>
    <t xml:space="preserve">8,28,153.77</t>
  </si>
  <si>
    <t xml:space="preserve">C10191</t>
  </si>
  <si>
    <t xml:space="preserve">Arvind Tool Crib</t>
  </si>
  <si>
    <t xml:space="preserve">HR/25-26/01338</t>
  </si>
  <si>
    <t xml:space="preserve">14/12/2025</t>
  </si>
  <si>
    <t xml:space="preserve">29/12/2025</t>
  </si>
  <si>
    <t xml:space="preserve">2,42,844.00</t>
  </si>
  <si>
    <t xml:space="preserve">WO-140</t>
  </si>
  <si>
    <t xml:space="preserve">HR/26-27/00440</t>
  </si>
  <si>
    <t xml:space="preserve">44,576.94</t>
  </si>
  <si>
    <t xml:space="preserve">PO-3590</t>
  </si>
  <si>
    <t xml:space="preserve">customer disputing GST</t>
  </si>
  <si>
    <t xml:space="preserve">HR/26-27/00959</t>
  </si>
  <si>
    <t xml:space="preserve">09-Aug-26</t>
  </si>
  <si>
    <t xml:space="preserve">114,696</t>
  </si>
  <si>
    <t xml:space="preserve">HR/26-27/01132</t>
  </si>
  <si>
    <t xml:space="preserve">04/08/2026</t>
  </si>
  <si>
    <t xml:space="preserve">293,230.00</t>
  </si>
  <si>
    <t xml:space="preserve">WO-522</t>
  </si>
  <si>
    <t xml:space="preserve">6,95,346.94</t>
  </si>
  <si>
    <t xml:space="preserve">C10196</t>
  </si>
  <si>
    <t xml:space="preserve">Yelahanka Steel Racks</t>
  </si>
  <si>
    <t xml:space="preserve">HR/25-26/00559</t>
  </si>
  <si>
    <t xml:space="preserve">13/10/2025</t>
  </si>
  <si>
    <t xml:space="preserve">12/11/2025</t>
  </si>
  <si>
    <t xml:space="preserve">32,634.25</t>
  </si>
  <si>
    <t xml:space="preserve">PO-9955</t>
  </si>
  <si>
    <t xml:space="preserve">HR/25-26/02490</t>
  </si>
  <si>
    <t xml:space="preserve">06/02/2026</t>
  </si>
  <si>
    <t xml:space="preserve">08/03/2026</t>
  </si>
  <si>
    <t xml:space="preserve">60,652.00 </t>
  </si>
  <si>
    <t xml:space="preserve">PO-3767</t>
  </si>
  <si>
    <t xml:space="preserve">HR/25-26/00054</t>
  </si>
  <si>
    <t xml:space="preserve">16/05/2025</t>
  </si>
  <si>
    <t xml:space="preserve">15/06/2025</t>
  </si>
  <si>
    <t xml:space="preserve">44,959.63</t>
  </si>
  <si>
    <t xml:space="preserve">WO-736</t>
  </si>
  <si>
    <t xml:space="preserve">HR/25-26/03178</t>
  </si>
  <si>
    <t xml:space="preserve">09/03/2026</t>
  </si>
  <si>
    <t xml:space="preserve">08/04/2026</t>
  </si>
  <si>
    <t xml:space="preserve">1,04,430.00</t>
  </si>
  <si>
    <t xml:space="preserve">HR/26-27/00070</t>
  </si>
  <si>
    <t xml:space="preserve">71,456.00</t>
  </si>
  <si>
    <t xml:space="preserve">HR/26-27/00073</t>
  </si>
  <si>
    <t xml:space="preserve">22/04/2026</t>
  </si>
  <si>
    <t xml:space="preserve">12,008.01</t>
  </si>
  <si>
    <t xml:space="preserve">PO-1057</t>
  </si>
  <si>
    <t xml:space="preserve">HR/26-27/00093</t>
  </si>
  <si>
    <t xml:space="preserve">25/04/2026</t>
  </si>
  <si>
    <t xml:space="preserve">25/05/2026</t>
  </si>
  <si>
    <t xml:space="preserve">32,077.35</t>
  </si>
  <si>
    <t xml:space="preserve">PO-4876</t>
  </si>
  <si>
    <t xml:space="preserve">HR/26-27/00239</t>
  </si>
  <si>
    <t xml:space="preserve">14/06/2026</t>
  </si>
  <si>
    <t xml:space="preserve">20060.00</t>
  </si>
  <si>
    <t xml:space="preserve">WO-627</t>
  </si>
  <si>
    <t xml:space="preserve">HR/26-27/00532</t>
  </si>
  <si>
    <t xml:space="preserve">23/06/2026</t>
  </si>
  <si>
    <t xml:space="preserve">23/07/2026</t>
  </si>
  <si>
    <t xml:space="preserve">58,528.00</t>
  </si>
  <si>
    <t xml:space="preserve">PO-1604</t>
  </si>
  <si>
    <t xml:space="preserve">HR/26-27/00567</t>
  </si>
  <si>
    <t xml:space="preserve">67,008.51</t>
  </si>
  <si>
    <t xml:space="preserve">WO-157</t>
  </si>
  <si>
    <t xml:space="preserve">HR/26-27/00695</t>
  </si>
  <si>
    <t xml:space="preserve">09/07/2026</t>
  </si>
  <si>
    <t xml:space="preserve">474,351.21</t>
  </si>
  <si>
    <t xml:space="preserve">4526501291</t>
  </si>
  <si>
    <t xml:space="preserve">HR/26-27/00826</t>
  </si>
  <si>
    <t xml:space="preserve">19.07.2026</t>
  </si>
  <si>
    <t xml:space="preserve">18.08.2026</t>
  </si>
  <si>
    <t xml:space="preserve">61,168.17</t>
  </si>
  <si>
    <t xml:space="preserve">PO/26/581</t>
  </si>
  <si>
    <t xml:space="preserve">HR/26-27/00903</t>
  </si>
  <si>
    <t xml:space="preserve">23/08/2026</t>
  </si>
  <si>
    <t xml:space="preserve">101952.00</t>
  </si>
  <si>
    <t xml:space="preserve">HR/26-27/00936</t>
  </si>
  <si>
    <t xml:space="preserve">18,243.41</t>
  </si>
  <si>
    <t xml:space="preserve">PO/26/588</t>
  </si>
  <si>
    <t xml:space="preserve">HR/26-27/00994</t>
  </si>
  <si>
    <t xml:space="preserve">97,442.82</t>
  </si>
  <si>
    <t xml:space="preserve">HR/26-27/01467</t>
  </si>
  <si>
    <t xml:space="preserve">631,995</t>
  </si>
  <si>
    <t xml:space="preserve">HR/26-27/01073</t>
  </si>
  <si>
    <t xml:space="preserve">31-Jul-26</t>
  </si>
  <si>
    <t xml:space="preserve">30/08/2026</t>
  </si>
  <si>
    <t xml:space="preserve">9,440.00</t>
  </si>
  <si>
    <t xml:space="preserve">HR/26-27/01492</t>
  </si>
  <si>
    <t xml:space="preserve">23,600.00</t>
  </si>
  <si>
    <t xml:space="preserve">PO-5402</t>
  </si>
  <si>
    <t xml:space="preserve">HR/26-27/01610</t>
  </si>
  <si>
    <t xml:space="preserve">30-Aug-26</t>
  </si>
  <si>
    <t xml:space="preserve">29-Sep-26</t>
  </si>
  <si>
    <t xml:space="preserve">333,940</t>
  </si>
  <si>
    <t xml:space="preserve">PO/26/631</t>
  </si>
  <si>
    <t xml:space="preserve">HR/26-27/01669</t>
  </si>
  <si>
    <t xml:space="preserve">2026-10-02</t>
  </si>
  <si>
    <t xml:space="preserve">₹ 91,686.00</t>
  </si>
  <si>
    <t xml:space="preserve">WO-805</t>
  </si>
  <si>
    <t xml:space="preserve">HR/26-27/01792</t>
  </si>
  <si>
    <t xml:space="preserve">07/10/2026</t>
  </si>
  <si>
    <t xml:space="preserve">162,236.36</t>
  </si>
  <si>
    <t xml:space="preserve">PO/26/108</t>
  </si>
  <si>
    <t xml:space="preserve">HR/26-27/01840</t>
  </si>
  <si>
    <t xml:space="preserve">₹ 529,112.00</t>
  </si>
  <si>
    <t xml:space="preserve">WO-947</t>
  </si>
  <si>
    <t xml:space="preserve">HR/26-27/02388</t>
  </si>
  <si>
    <t xml:space="preserve">11/10/2026</t>
  </si>
  <si>
    <t xml:space="preserve">11,776.00</t>
  </si>
  <si>
    <t xml:space="preserve">PO/25/701</t>
  </si>
  <si>
    <t xml:space="preserve">30,50,756.72</t>
  </si>
  <si>
    <t xml:space="preserve">C-10200</t>
  </si>
  <si>
    <t xml:space="preserve">Shree Ganesh Hardware </t>
  </si>
  <si>
    <t xml:space="preserve">HR/25-26/02083</t>
  </si>
  <si>
    <t xml:space="preserve">11/01/2026</t>
  </si>
  <si>
    <t xml:space="preserve">26/01/2026</t>
  </si>
  <si>
    <t xml:space="preserve">167,439.18</t>
  </si>
  <si>
    <t xml:space="preserve">WO-228</t>
  </si>
  <si>
    <t xml:space="preserve">Page 7 of 13</t>
  </si>
  <si>
    <t xml:space="preserve">c10200</t>
  </si>
  <si>
    <t xml:space="preserve">HR/26-27/00048</t>
  </si>
  <si>
    <t xml:space="preserve">17/04/2026</t>
  </si>
  <si>
    <t xml:space="preserve">17.04.2026</t>
  </si>
  <si>
    <t xml:space="preserve">224,200.00</t>
  </si>
  <si>
    <t xml:space="preserve">On receipt</t>
  </si>
  <si>
    <t xml:space="preserve">PO/25/175</t>
  </si>
  <si>
    <t xml:space="preserve">HR/26-27/00153</t>
  </si>
  <si>
    <t xml:space="preserve">03/05/2026</t>
  </si>
  <si>
    <t xml:space="preserve">₹ 165,141.86</t>
  </si>
  <si>
    <t xml:space="preserve">WO-447</t>
  </si>
  <si>
    <t xml:space="preserve">HR/26-27/00420</t>
  </si>
  <si>
    <t xml:space="preserve">55,578.00</t>
  </si>
  <si>
    <t xml:space="preserve">HR/26-27/00197</t>
  </si>
  <si>
    <t xml:space="preserve">24/05/2026</t>
  </si>
  <si>
    <t xml:space="preserve">114,797.33</t>
  </si>
  <si>
    <t xml:space="preserve">WO-711</t>
  </si>
  <si>
    <t xml:space="preserve">HR/26-27/00641</t>
  </si>
  <si>
    <t xml:space="preserve">22/07/2026</t>
  </si>
  <si>
    <t xml:space="preserve">145,140.00</t>
  </si>
  <si>
    <t xml:space="preserve">HR/26-27/01204</t>
  </si>
  <si>
    <t xml:space="preserve">2026-09-24</t>
  </si>
  <si>
    <t xml:space="preserve">₹ 37,170.00</t>
  </si>
  <si>
    <t xml:space="preserve">PO/26/859</t>
  </si>
  <si>
    <t xml:space="preserve">HR/26-27/01545</t>
  </si>
  <si>
    <t xml:space="preserve">5,63,450.00</t>
  </si>
  <si>
    <t xml:space="preserve">WO-146</t>
  </si>
  <si>
    <t xml:space="preserve">HR/26-27/02437</t>
  </si>
  <si>
    <t xml:space="preserve">105,846.00</t>
  </si>
  <si>
    <t xml:space="preserve">PO-3129</t>
  </si>
  <si>
    <t xml:space="preserve">15,78,762.37</t>
  </si>
  <si>
    <t xml:space="preserve">C10209</t>
  </si>
  <si>
    <t xml:space="preserve">Rajeshwari Auto Spares</t>
  </si>
  <si>
    <t xml:space="preserve">HR/26-27/00293</t>
  </si>
  <si>
    <t xml:space="preserve">20/05/2026</t>
  </si>
  <si>
    <t xml:space="preserve">19/06/2026</t>
  </si>
  <si>
    <t xml:space="preserve">59,118.00</t>
  </si>
  <si>
    <t xml:space="preserve">4534643556</t>
  </si>
  <si>
    <t xml:space="preserve">CN/26-27/0058</t>
  </si>
  <si>
    <t xml:space="preserve">78,800.00</t>
  </si>
  <si>
    <t xml:space="preserve">HR/26-27/00475</t>
  </si>
  <si>
    <t xml:space="preserve">13/06/2026</t>
  </si>
  <si>
    <t xml:space="preserve">13/07/2026</t>
  </si>
  <si>
    <t xml:space="preserve">₹ 54,915.00</t>
  </si>
  <si>
    <t xml:space="preserve">hr/26-27/01137</t>
  </si>
  <si>
    <t xml:space="preserve">2026-08-04</t>
  </si>
  <si>
    <t xml:space="preserve">2026-09-03</t>
  </si>
  <si>
    <t xml:space="preserve">₹ 35,546.34</t>
  </si>
  <si>
    <t xml:space="preserve">4519265508</t>
  </si>
  <si>
    <t xml:space="preserve">HR/26-27/01671</t>
  </si>
  <si>
    <t xml:space="preserve">674,432.00</t>
  </si>
  <si>
    <t xml:space="preserve">WO-301</t>
  </si>
  <si>
    <t xml:space="preserve">HR/26-27/01281</t>
  </si>
  <si>
    <t xml:space="preserve">97,896.87</t>
  </si>
  <si>
    <t xml:space="preserve">WO-710</t>
  </si>
  <si>
    <t xml:space="preserve">HR/26-27/02348</t>
  </si>
  <si>
    <t xml:space="preserve">53,712.72</t>
  </si>
  <si>
    <t xml:space="preserve">4521059085</t>
  </si>
  <si>
    <t xml:space="preserve">HR/26-27/02392</t>
  </si>
  <si>
    <t xml:space="preserve">₹ 19,588.00</t>
  </si>
  <si>
    <t xml:space="preserve">9,16,408.93</t>
  </si>
  <si>
    <t xml:space="preserve">C10214</t>
  </si>
  <si>
    <t xml:space="preserve">Western Ghats Cables</t>
  </si>
  <si>
    <t xml:space="preserve">HR/26-27/00194</t>
  </si>
  <si>
    <t xml:space="preserve">07/05/2026</t>
  </si>
  <si>
    <t xml:space="preserve">300,800.11</t>
  </si>
  <si>
    <t xml:space="preserve">WO-631</t>
  </si>
  <si>
    <t xml:space="preserve">HR/26-27/00573</t>
  </si>
  <si>
    <t xml:space="preserve">46201</t>
  </si>
  <si>
    <t xml:space="preserve">46246</t>
  </si>
  <si>
    <t xml:space="preserve">91,450.00</t>
  </si>
  <si>
    <t xml:space="preserve">PO-1746</t>
  </si>
  <si>
    <t xml:space="preserve">HR/26-27/00593</t>
  </si>
  <si>
    <t xml:space="preserve">02/07/2026</t>
  </si>
  <si>
    <t xml:space="preserve">₹ 63,288.31</t>
  </si>
  <si>
    <t xml:space="preserve">4563992121</t>
  </si>
  <si>
    <t xml:space="preserve">HR/26-27/00898</t>
  </si>
  <si>
    <t xml:space="preserve">₹ 142,190.00</t>
  </si>
  <si>
    <t xml:space="preserve">HR/26-27/01143</t>
  </si>
  <si>
    <t xml:space="preserve">46239</t>
  </si>
  <si>
    <t xml:space="preserve">15,488.00</t>
  </si>
  <si>
    <t xml:space="preserve">WO-500</t>
  </si>
  <si>
    <t xml:space="preserve"> HR/26-27/02006</t>
  </si>
  <si>
    <t xml:space="preserve">122,248.00</t>
  </si>
  <si>
    <t xml:space="preserve">WO-924</t>
  </si>
  <si>
    <t xml:space="preserve">7,35,464.42</t>
  </si>
  <si>
    <t xml:space="preserve">C10224</t>
  </si>
  <si>
    <t xml:space="preserve">Vasavi Constructions</t>
  </si>
  <si>
    <t xml:space="preserve">HR/25-26/00224</t>
  </si>
  <si>
    <t xml:space="preserve">04/07/2025</t>
  </si>
  <si>
    <t xml:space="preserve">18/08/2025</t>
  </si>
  <si>
    <t xml:space="preserve">49,324.00</t>
  </si>
  <si>
    <t xml:space="preserve">4567154940</t>
  </si>
  <si>
    <t xml:space="preserve">HR/26-27/00037</t>
  </si>
  <si>
    <t xml:space="preserve">16.04.2026</t>
  </si>
  <si>
    <t xml:space="preserve">31.05.2026</t>
  </si>
  <si>
    <t xml:space="preserve">59,354</t>
  </si>
  <si>
    <t xml:space="preserve">PO-9249</t>
  </si>
  <si>
    <t xml:space="preserve">pls follow up</t>
  </si>
  <si>
    <t xml:space="preserve">CN/26-27/0049</t>
  </si>
  <si>
    <t xml:space="preserve">-4,000.00</t>
  </si>
  <si>
    <t xml:space="preserve">HR/26-27/00305</t>
  </si>
  <si>
    <t xml:space="preserve">06/07/2026</t>
  </si>
  <si>
    <t xml:space="preserve">26,719.18</t>
  </si>
  <si>
    <t xml:space="preserve">  HR/26-27/00527</t>
  </si>
  <si>
    <t xml:space="preserve">61,499.25</t>
  </si>
  <si>
    <t xml:space="preserve">PO/25/536</t>
  </si>
  <si>
    <t xml:space="preserve">HR/26-27/00683</t>
  </si>
  <si>
    <t xml:space="preserve">₹ 84,960.00</t>
  </si>
  <si>
    <t xml:space="preserve">PO/26/160</t>
  </si>
  <si>
    <t xml:space="preserve">HR/26-27/00979</t>
  </si>
  <si>
    <t xml:space="preserve">09-Sep-26</t>
  </si>
  <si>
    <t xml:space="preserve">24,863.48</t>
  </si>
  <si>
    <t xml:space="preserve">WO-456</t>
  </si>
  <si>
    <t xml:space="preserve">RCT/26-27/00129</t>
  </si>
  <si>
    <t xml:space="preserve">(1,01,300.00)</t>
  </si>
  <si>
    <t xml:space="preserve">NEFT 6400538263</t>
  </si>
  <si>
    <t xml:space="preserve"> HR/26-27/01733</t>
  </si>
  <si>
    <t xml:space="preserve">739,954.15</t>
  </si>
  <si>
    <t xml:space="preserve">4537424685</t>
  </si>
  <si>
    <t xml:space="preserve">hr/26-27/01785</t>
  </si>
  <si>
    <t xml:space="preserve">WO-271</t>
  </si>
  <si>
    <t xml:space="preserve">9,75,594.06</t>
  </si>
  <si>
    <t xml:space="preserve">C10227 </t>
  </si>
  <si>
    <t xml:space="preserve">HOYSALA PACKAGING INDUSTRIES</t>
  </si>
  <si>
    <t xml:space="preserve">CN/25-26/0108</t>
  </si>
  <si>
    <t xml:space="preserve">(5,300.00)</t>
  </si>
  <si>
    <t xml:space="preserve">HR/25-26/03930</t>
  </si>
  <si>
    <t xml:space="preserve">29-Mar-26</t>
  </si>
  <si>
    <t xml:space="preserve">28-May-26</t>
  </si>
  <si>
    <t xml:space="preserve">63,602.00</t>
  </si>
  <si>
    <t xml:space="preserve">PO-8367</t>
  </si>
  <si>
    <t xml:space="preserve">HR/26-27/00177</t>
  </si>
  <si>
    <t xml:space="preserve">05/05/2026</t>
  </si>
  <si>
    <t xml:space="preserve">28435.15</t>
  </si>
  <si>
    <t xml:space="preserve">HR/26-27/00435</t>
  </si>
  <si>
    <t xml:space="preserve">4,48,400.00</t>
  </si>
  <si>
    <t xml:space="preserve">HR/26-27/00578</t>
  </si>
  <si>
    <t xml:space="preserve">30.06.2026</t>
  </si>
  <si>
    <t xml:space="preserve">29.08.2025</t>
  </si>
  <si>
    <t xml:space="preserve">4,694.29</t>
  </si>
  <si>
    <t xml:space="preserve">PO-2147</t>
  </si>
  <si>
    <t xml:space="preserve">Page 8 of 13</t>
  </si>
  <si>
    <t xml:space="preserve">HR/26-27/00795</t>
  </si>
  <si>
    <t xml:space="preserve">18 Jul 2026</t>
  </si>
  <si>
    <t xml:space="preserve">16 Sep 2026</t>
  </si>
  <si>
    <t xml:space="preserve">HR/26-27/00935</t>
  </si>
  <si>
    <t xml:space="preserve">24-Jul-26</t>
  </si>
  <si>
    <t xml:space="preserve">1,40,420.00</t>
  </si>
  <si>
    <t xml:space="preserve">4549484984</t>
  </si>
  <si>
    <t xml:space="preserve">HR/26-27/01047</t>
  </si>
  <si>
    <t xml:space="preserve">21,248.00</t>
  </si>
  <si>
    <t xml:space="preserve">PO/26/629</t>
  </si>
  <si>
    <t xml:space="preserve">HR/26-27/01146</t>
  </si>
  <si>
    <t xml:space="preserve">05/08/2026</t>
  </si>
  <si>
    <t xml:space="preserve">46299</t>
  </si>
  <si>
    <t xml:space="preserve">24570.00</t>
  </si>
  <si>
    <t xml:space="preserve">PO/25/686</t>
  </si>
  <si>
    <t xml:space="preserve">RCT/26-27/00231</t>
  </si>
  <si>
    <t xml:space="preserve">(109,400.00)</t>
  </si>
  <si>
    <t xml:space="preserve">NEFT 3290092600</t>
  </si>
  <si>
    <t xml:space="preserve">HR/26-27/01477</t>
  </si>
  <si>
    <t xml:space="preserve">114,034.49</t>
  </si>
  <si>
    <t xml:space="preserve">PO-5287</t>
  </si>
  <si>
    <t xml:space="preserve">HR/ 26-27/01624</t>
  </si>
  <si>
    <t xml:space="preserve">30-Oct-26</t>
  </si>
  <si>
    <t xml:space="preserve">50,715.00</t>
  </si>
  <si>
    <t xml:space="preserve">PO/25/546</t>
  </si>
  <si>
    <t xml:space="preserve">HR/26-27/01964</t>
  </si>
  <si>
    <t xml:space="preserve">₹ 100,709.83</t>
  </si>
  <si>
    <t xml:space="preserve">PO-4966</t>
  </si>
  <si>
    <t xml:space="preserve">CN/26-27/0108</t>
  </si>
  <si>
    <t xml:space="preserve">49,400.00-</t>
  </si>
  <si>
    <t xml:space="preserve">HR/26-27/02147</t>
  </si>
  <si>
    <t xml:space="preserve">17/11/2026</t>
  </si>
  <si>
    <t xml:space="preserve">141,718.00 </t>
  </si>
  <si>
    <t xml:space="preserve">HR/26-27/02021</t>
  </si>
  <si>
    <t xml:space="preserve">187,034.06</t>
  </si>
  <si>
    <t xml:space="preserve">PO/26/510</t>
  </si>
  <si>
    <t xml:space="preserve">hr/26-27/02112</t>
  </si>
  <si>
    <t xml:space="preserve">2026-09-18</t>
  </si>
  <si>
    <t xml:space="preserve">60,219.78</t>
  </si>
  <si>
    <t xml:space="preserve">PO-4032</t>
  </si>
  <si>
    <t xml:space="preserve">HR/26-27/02395</t>
  </si>
  <si>
    <t xml:space="preserve">26/11/2026</t>
  </si>
  <si>
    <t xml:space="preserve">215,680.00</t>
  </si>
  <si>
    <t xml:space="preserve">PO-4137</t>
  </si>
  <si>
    <t xml:space="preserve">HR/26-27/02408</t>
  </si>
  <si>
    <t xml:space="preserve">13/11/2026</t>
  </si>
  <si>
    <t xml:space="preserve">₹ 24,308.00</t>
  </si>
  <si>
    <t xml:space="preserve">4560581354</t>
  </si>
  <si>
    <t xml:space="preserve">14,71,128.60</t>
  </si>
  <si>
    <t xml:space="preserve">C-10237</t>
  </si>
  <si>
    <t xml:space="preserve">  Surya Roofing Systems</t>
  </si>
  <si>
    <t xml:space="preserve">HR/25-26/00694</t>
  </si>
  <si>
    <t xml:space="preserve">15/11/2025</t>
  </si>
  <si>
    <t xml:space="preserve">30/12/2025</t>
  </si>
  <si>
    <t xml:space="preserve">347,860.48</t>
  </si>
  <si>
    <t xml:space="preserve">PO/25/678</t>
  </si>
  <si>
    <t xml:space="preserve">HR/25-26/01861</t>
  </si>
  <si>
    <t xml:space="preserve">20/02/2026</t>
  </si>
  <si>
    <t xml:space="preserve">13,098.00 </t>
  </si>
  <si>
    <t xml:space="preserve">HR/25-26/03856</t>
  </si>
  <si>
    <t xml:space="preserve">25/03/2026</t>
  </si>
  <si>
    <t xml:space="preserve">636374.00</t>
  </si>
  <si>
    <t xml:space="preserve">PO-3348</t>
  </si>
  <si>
    <t xml:space="preserve">hr/26-27/00009</t>
  </si>
  <si>
    <t xml:space="preserve">15,373.89</t>
  </si>
  <si>
    <t xml:space="preserve">HR/26-27/00043</t>
  </si>
  <si>
    <t xml:space="preserve">01/06/2026</t>
  </si>
  <si>
    <t xml:space="preserve">1,21,894.00</t>
  </si>
  <si>
    <t xml:space="preserve">4515524964</t>
  </si>
  <si>
    <t xml:space="preserve">HR/26-27/00321</t>
  </si>
  <si>
    <t xml:space="preserve">24/06/2026</t>
  </si>
  <si>
    <t xml:space="preserve">135,582.00</t>
  </si>
  <si>
    <t xml:space="preserve">PO-7732</t>
  </si>
  <si>
    <t xml:space="preserve">HR/26-27/00458</t>
  </si>
  <si>
    <t xml:space="preserve">10-Jun-26</t>
  </si>
  <si>
    <t xml:space="preserve">15,855.00</t>
  </si>
  <si>
    <t xml:space="preserve">HR/26-27/00637</t>
  </si>
  <si>
    <t xml:space="preserve">06-Jul-26</t>
  </si>
  <si>
    <t xml:space="preserve">20-Aug-26</t>
  </si>
  <si>
    <t xml:space="preserve">220,542.00</t>
  </si>
  <si>
    <t xml:space="preserve">HR/26-27/01699</t>
  </si>
  <si>
    <t xml:space="preserve">43,896.00</t>
  </si>
  <si>
    <t xml:space="preserve">PO-7813</t>
  </si>
  <si>
    <t xml:space="preserve">HR/26-27/02101</t>
  </si>
  <si>
    <t xml:space="preserve">26,231.16</t>
  </si>
  <si>
    <t xml:space="preserve">HR/26-27/02328</t>
  </si>
  <si>
    <t xml:space="preserve">24-Sep-26</t>
  </si>
  <si>
    <t xml:space="preserve">36,678.85 </t>
  </si>
  <si>
    <t xml:space="preserve">4553860323</t>
  </si>
  <si>
    <t xml:space="preserve">HR/26-27/02366</t>
  </si>
  <si>
    <t xml:space="preserve">142,800.00 </t>
  </si>
  <si>
    <t xml:space="preserve">PO-6027</t>
  </si>
  <si>
    <t xml:space="preserve">17,56,185.38</t>
  </si>
  <si>
    <t xml:space="preserve">C10246</t>
  </si>
  <si>
    <t xml:space="preserve">PEARL CITY ELECTRICALS</t>
  </si>
  <si>
    <t xml:space="preserve">HR/26-27/00402</t>
  </si>
  <si>
    <t xml:space="preserve">30-May-26</t>
  </si>
  <si>
    <t xml:space="preserve">29-Jun-26</t>
  </si>
  <si>
    <t xml:space="preserve">176,056.00</t>
  </si>
  <si>
    <t xml:space="preserve">PO-1012</t>
  </si>
  <si>
    <t xml:space="preserve">HR/ 26-27/00673</t>
  </si>
  <si>
    <t xml:space="preserve">20,060.00</t>
  </si>
  <si>
    <t xml:space="preserve">HR/ 26-27/01051</t>
  </si>
  <si>
    <t xml:space="preserve">4,03,191.34</t>
  </si>
  <si>
    <t xml:space="preserve">PO-2791</t>
  </si>
  <si>
    <t xml:space="preserve">HR/26-27/01397</t>
  </si>
  <si>
    <t xml:space="preserve">88,522.62</t>
  </si>
  <si>
    <t xml:space="preserve">WO-985</t>
  </si>
  <si>
    <t xml:space="preserve">6,87,829.96</t>
  </si>
  <si>
    <t xml:space="preserve">C10251</t>
  </si>
  <si>
    <t xml:space="preserve">Gowda &amp; Co Contractors</t>
  </si>
  <si>
    <t xml:space="preserve">hr/25-26/00274</t>
  </si>
  <si>
    <t xml:space="preserve">16.08.2025</t>
  </si>
  <si>
    <t xml:space="preserve">15.09.2025</t>
  </si>
  <si>
    <t xml:space="preserve">11,520.00</t>
  </si>
  <si>
    <t xml:space="preserve">WO-577</t>
  </si>
  <si>
    <t xml:space="preserve">jv/25-26/0005</t>
  </si>
  <si>
    <t xml:space="preserve">14/10/2025</t>
  </si>
  <si>
    <t xml:space="preserve">(6,081.24)</t>
  </si>
  <si>
    <t xml:space="preserve">HR/25-26/02230</t>
  </si>
  <si>
    <t xml:space="preserve">18/01/2026</t>
  </si>
  <si>
    <t xml:space="preserve">195,411.63</t>
  </si>
  <si>
    <t xml:space="preserve">HR/25-26/02327</t>
  </si>
  <si>
    <t xml:space="preserve">2026-01-27</t>
  </si>
  <si>
    <t xml:space="preserve">2026-02-26</t>
  </si>
  <si>
    <t xml:space="preserve">36,419.58</t>
  </si>
  <si>
    <t xml:space="preserve">WO-614</t>
  </si>
  <si>
    <t xml:space="preserve">CN/26-27/0013</t>
  </si>
  <si>
    <t xml:space="preserve">(54,000.00)</t>
  </si>
  <si>
    <t xml:space="preserve">HR/25-26/03402</t>
  </si>
  <si>
    <t xml:space="preserve">35,277.43</t>
  </si>
  <si>
    <t xml:space="preserve">PO-2169</t>
  </si>
  <si>
    <t xml:space="preserve">RCT/26-27/00012</t>
  </si>
  <si>
    <t xml:space="preserve">27-Apr-26</t>
  </si>
  <si>
    <t xml:space="preserve">123,000.00-</t>
  </si>
  <si>
    <t xml:space="preserve">NEFT 9827548027</t>
  </si>
  <si>
    <t xml:space="preserve">HR/26-27/00168</t>
  </si>
  <si>
    <t xml:space="preserve">02/06/2026</t>
  </si>
  <si>
    <t xml:space="preserve">Rs. 85,059.37</t>
  </si>
  <si>
    <t xml:space="preserve">PO-4633</t>
  </si>
  <si>
    <t xml:space="preserve">RCT/26-27/00040</t>
  </si>
  <si>
    <t xml:space="preserve">24.06.2026</t>
  </si>
  <si>
    <t xml:space="preserve">-283,000.00 </t>
  </si>
  <si>
    <t xml:space="preserve">Ramesh Kumar</t>
  </si>
  <si>
    <t xml:space="preserve">HR/26-27/00592</t>
  </si>
  <si>
    <t xml:space="preserve">15,340.00</t>
  </si>
  <si>
    <t xml:space="preserve">HR/26-27/00679</t>
  </si>
  <si>
    <t xml:space="preserve">95,571.43</t>
  </si>
  <si>
    <t xml:space="preserve">4563448364</t>
  </si>
  <si>
    <t xml:space="preserve">HR/26-27/00703</t>
  </si>
  <si>
    <t xml:space="preserve">88,914.05</t>
  </si>
  <si>
    <t xml:space="preserve">PO/25/661</t>
  </si>
  <si>
    <t xml:space="preserve">Page 9 of 13</t>
  </si>
  <si>
    <t xml:space="preserve">HR/26-27/00785</t>
  </si>
  <si>
    <t xml:space="preserve">18/07/2026</t>
  </si>
  <si>
    <t xml:space="preserve">17-Aug-26</t>
  </si>
  <si>
    <t xml:space="preserve">75,520.00</t>
  </si>
  <si>
    <t xml:space="preserve">PO-7676</t>
  </si>
  <si>
    <t xml:space="preserve">HR/26-27/00971</t>
  </si>
  <si>
    <t xml:space="preserve">9,440</t>
  </si>
  <si>
    <t xml:space="preserve">HR/26-27/00791</t>
  </si>
  <si>
    <t xml:space="preserve">134,284</t>
  </si>
  <si>
    <t xml:space="preserve">RCT/26-27/00160</t>
  </si>
  <si>
    <t xml:space="preserve">10.08.2026</t>
  </si>
  <si>
    <t xml:space="preserve">52,600.00</t>
  </si>
  <si>
    <t xml:space="preserve">NEFT 7238309459</t>
  </si>
  <si>
    <t xml:space="preserve">HR/26-27/01394</t>
  </si>
  <si>
    <t xml:space="preserve">22-Aug-26</t>
  </si>
  <si>
    <t xml:space="preserve">21-Sep-26</t>
  </si>
  <si>
    <t xml:space="preserve">₹ 79,966.89</t>
  </si>
  <si>
    <t xml:space="preserve">hr/26-27/01444</t>
  </si>
  <si>
    <t xml:space="preserve">24-Aug-26</t>
  </si>
  <si>
    <t xml:space="preserve">23-Sep-26</t>
  </si>
  <si>
    <t xml:space="preserve">6,24,574.00</t>
  </si>
  <si>
    <t xml:space="preserve">4555646058</t>
  </si>
  <si>
    <t xml:space="preserve">HR/26-27/01677</t>
  </si>
  <si>
    <t xml:space="preserve">35400.00 </t>
  </si>
  <si>
    <t xml:space="preserve">WO-930</t>
  </si>
  <si>
    <t xml:space="preserve">HR/26-27/02071</t>
  </si>
  <si>
    <t xml:space="preserve">2,23,964.00</t>
  </si>
  <si>
    <t xml:space="preserve">WO-886</t>
  </si>
  <si>
    <t xml:space="preserve">RCT/26-27/00602</t>
  </si>
  <si>
    <t xml:space="preserve">49,000.00</t>
  </si>
  <si>
    <t xml:space="preserve">CHQ 624410</t>
  </si>
  <si>
    <t xml:space="preserve">HR/26-27/02370</t>
  </si>
  <si>
    <t xml:space="preserve">10/10/2026</t>
  </si>
  <si>
    <t xml:space="preserve">194,951.72</t>
  </si>
  <si>
    <t xml:space="preserve">N/A</t>
  </si>
  <si>
    <t xml:space="preserve">CN/26-27/0155</t>
  </si>
  <si>
    <t xml:space="preserve">29.09.2026</t>
  </si>
  <si>
    <t xml:space="preserve">(74,388.53) </t>
  </si>
  <si>
    <t xml:space="preserve">RCT/26-27/00694</t>
  </si>
  <si>
    <t xml:space="preserve">27 Sep 2026</t>
  </si>
  <si>
    <t xml:space="preserve">(213,200.00)</t>
  </si>
  <si>
    <t xml:space="preserve">CHQ 513904</t>
  </si>
  <si>
    <t xml:space="preserve">10,86,344.33</t>
  </si>
  <si>
    <t xml:space="preserve">C10253</t>
  </si>
  <si>
    <t xml:space="preserve">  Balaji Material Handling</t>
  </si>
  <si>
    <t xml:space="preserve">HR/26-27/00806</t>
  </si>
  <si>
    <t xml:space="preserve">15,717.80</t>
  </si>
  <si>
    <t xml:space="preserve">WO-779</t>
  </si>
  <si>
    <t xml:space="preserve">HR/26-27/01608</t>
  </si>
  <si>
    <t xml:space="preserve">30.08.2026</t>
  </si>
  <si>
    <t xml:space="preserve">14.10.2026</t>
  </si>
  <si>
    <t xml:space="preserve">37,878.00</t>
  </si>
  <si>
    <t xml:space="preserve">WO-821</t>
  </si>
  <si>
    <t xml:space="preserve">53,595.80</t>
  </si>
  <si>
    <t xml:space="preserve">C10256</t>
  </si>
  <si>
    <t xml:space="preserve">Shakti Agro Implements</t>
  </si>
  <si>
    <t xml:space="preserve">HR/26-27/00237</t>
  </si>
  <si>
    <t xml:space="preserve">46153</t>
  </si>
  <si>
    <t xml:space="preserve">46183</t>
  </si>
  <si>
    <t xml:space="preserve">62,608.00</t>
  </si>
  <si>
    <t xml:space="preserve">PO/26/492</t>
  </si>
  <si>
    <t xml:space="preserve">HR/26-27/00954</t>
  </si>
  <si>
    <t xml:space="preserve">HR/26-27/02452</t>
  </si>
  <si>
    <t xml:space="preserve">2026-11-14</t>
  </si>
  <si>
    <t xml:space="preserve">1,58,002.00</t>
  </si>
  <si>
    <t xml:space="preserve">2,54,830.00</t>
  </si>
  <si>
    <t xml:space="preserve">C-10260</t>
  </si>
  <si>
    <t xml:space="preserve">Metro Auto Ancillaries</t>
  </si>
  <si>
    <t xml:space="preserve">  HR/26-27/00345 </t>
  </si>
  <si>
    <t xml:space="preserve">119,180.00</t>
  </si>
  <si>
    <t xml:space="preserve">PO/25/240</t>
  </si>
  <si>
    <t xml:space="preserve">RCT/26-27/00229</t>
  </si>
  <si>
    <t xml:space="preserve">68,200.00</t>
  </si>
  <si>
    <t xml:space="preserve">CHQ 757893</t>
  </si>
  <si>
    <t xml:space="preserve">HR/26-27/01317</t>
  </si>
  <si>
    <t xml:space="preserve">2026-10-03</t>
  </si>
  <si>
    <t xml:space="preserve">37,586.84</t>
  </si>
  <si>
    <t xml:space="preserve">PO-1910</t>
  </si>
  <si>
    <t xml:space="preserve">HR/26-27/01357</t>
  </si>
  <si>
    <t xml:space="preserve">21/08/2026</t>
  </si>
  <si>
    <t xml:space="preserve">05/10/2026</t>
  </si>
  <si>
    <t xml:space="preserve">25,606.00</t>
  </si>
  <si>
    <t xml:space="preserve">PO-4052</t>
  </si>
  <si>
    <t xml:space="preserve">hr/26-27/01565</t>
  </si>
  <si>
    <t xml:space="preserve">166,320.00</t>
  </si>
  <si>
    <t xml:space="preserve">PO-1402</t>
  </si>
  <si>
    <t xml:space="preserve">HR/26-27/01576</t>
  </si>
  <si>
    <t xml:space="preserve">58,503.88</t>
  </si>
  <si>
    <t xml:space="preserve">WO-559</t>
  </si>
  <si>
    <t xml:space="preserve">HR/26-27/02421</t>
  </si>
  <si>
    <t xml:space="preserve">96,705.00</t>
  </si>
  <si>
    <t xml:space="preserve">4,35,701.72</t>
  </si>
  <si>
    <t xml:space="preserve">C10267</t>
  </si>
  <si>
    <t xml:space="preserve">Pragati Switchgear Ltd</t>
  </si>
  <si>
    <t xml:space="preserve">HR/25-26/03752</t>
  </si>
  <si>
    <t xml:space="preserve">137,872.00</t>
  </si>
  <si>
    <t xml:space="preserve">PO/26/343</t>
  </si>
  <si>
    <t xml:space="preserve">HR/25-26/01768</t>
  </si>
  <si>
    <t xml:space="preserve">04.01.2026</t>
  </si>
  <si>
    <t xml:space="preserve">05.03.2026</t>
  </si>
  <si>
    <t xml:space="preserve">184,800.00</t>
  </si>
  <si>
    <t xml:space="preserve">WO-918</t>
  </si>
  <si>
    <t xml:space="preserve">HR/26-27/00554</t>
  </si>
  <si>
    <t xml:space="preserve">54,870.00</t>
  </si>
  <si>
    <t xml:space="preserve">4572375084</t>
  </si>
  <si>
    <t xml:space="preserve">  HR/26-27/01347</t>
  </si>
  <si>
    <t xml:space="preserve">20 Aug 2026</t>
  </si>
  <si>
    <t xml:space="preserve">19 Oct 2026</t>
  </si>
  <si>
    <t xml:space="preserve">25,960.00</t>
  </si>
  <si>
    <t xml:space="preserve">PO-8247</t>
  </si>
  <si>
    <t xml:space="preserve">HR/26-27/01724</t>
  </si>
  <si>
    <t xml:space="preserve">04/09/2026</t>
  </si>
  <si>
    <t xml:space="preserve">03-Nov-26</t>
  </si>
  <si>
    <t xml:space="preserve">8464.40</t>
  </si>
  <si>
    <t xml:space="preserve">CN/26-27/0120</t>
  </si>
  <si>
    <t xml:space="preserve">50,090.60</t>
  </si>
  <si>
    <t xml:space="preserve">DN/26-27/0022</t>
  </si>
  <si>
    <t xml:space="preserve">05/11/2026</t>
  </si>
  <si>
    <t xml:space="preserve">10,016.60</t>
  </si>
  <si>
    <t xml:space="preserve">HR/26-27/02345</t>
  </si>
  <si>
    <t xml:space="preserve">23/11/2026</t>
  </si>
  <si>
    <t xml:space="preserve">31,506.00</t>
  </si>
  <si>
    <t xml:space="preserve">PO-7835</t>
  </si>
  <si>
    <t xml:space="preserve">4,03,398.40</t>
  </si>
  <si>
    <t xml:space="preserve">C10278</t>
  </si>
  <si>
    <t xml:space="preserve">Orient Valves &amp; Controls</t>
  </si>
  <si>
    <t xml:space="preserve">HR/25-26/03618</t>
  </si>
  <si>
    <t xml:space="preserve">21-Mar-26</t>
  </si>
  <si>
    <t xml:space="preserve">20-May-26</t>
  </si>
  <si>
    <t xml:space="preserve">62,540.00</t>
  </si>
  <si>
    <t xml:space="preserve">PO-5409</t>
  </si>
  <si>
    <t xml:space="preserve">HR/26-27/00066</t>
  </si>
  <si>
    <t xml:space="preserve">76,700.00</t>
  </si>
  <si>
    <t xml:space="preserve">HR/26-27/02458</t>
  </si>
  <si>
    <t xml:space="preserve">30-Sep-26</t>
  </si>
  <si>
    <t xml:space="preserve">29-Nov-26</t>
  </si>
  <si>
    <t xml:space="preserve">45,902.00</t>
  </si>
  <si>
    <t xml:space="preserve">PO-2046</t>
  </si>
  <si>
    <t xml:space="preserve">HR/26-27/01437</t>
  </si>
  <si>
    <t xml:space="preserve">194,133.99</t>
  </si>
  <si>
    <t xml:space="preserve">3,79,275.99</t>
  </si>
  <si>
    <t xml:space="preserve">C10287</t>
  </si>
  <si>
    <t xml:space="preserve">Tungabhadra Steels Ltd</t>
  </si>
  <si>
    <t xml:space="preserve">HR/25-26/00749</t>
  </si>
  <si>
    <t xml:space="preserve">18-Nov-25</t>
  </si>
  <si>
    <t xml:space="preserve">17-Jan-26</t>
  </si>
  <si>
    <t xml:space="preserve">9,727.87</t>
  </si>
  <si>
    <t xml:space="preserve">4590895470</t>
  </si>
  <si>
    <t xml:space="preserve">Page 10 of 13</t>
  </si>
  <si>
    <t xml:space="preserve">RCT/25-26/00091</t>
  </si>
  <si>
    <t xml:space="preserve">04/01/2026</t>
  </si>
  <si>
    <t xml:space="preserve">33,200.00-</t>
  </si>
  <si>
    <t xml:space="preserve">HR/25-26/02948</t>
  </si>
  <si>
    <t xml:space="preserve">19/02/2026</t>
  </si>
  <si>
    <t xml:space="preserve">20/04/2026</t>
  </si>
  <si>
    <t xml:space="preserve">202,488.00</t>
  </si>
  <si>
    <t xml:space="preserve">PO-5760</t>
  </si>
  <si>
    <t xml:space="preserve">HR/26-27/00016</t>
  </si>
  <si>
    <t xml:space="preserve">05/04/2026</t>
  </si>
  <si>
    <t xml:space="preserve">157,351.10</t>
  </si>
  <si>
    <t xml:space="preserve">HR/26-27/00336</t>
  </si>
  <si>
    <t xml:space="preserve">228,096.00</t>
  </si>
  <si>
    <t xml:space="preserve">CN/26-27/0053</t>
  </si>
  <si>
    <t xml:space="preserve">28/06/2026</t>
  </si>
  <si>
    <t xml:space="preserve">(6,568.83)</t>
  </si>
  <si>
    <t xml:space="preserve">HR/26-27/00483</t>
  </si>
  <si>
    <t xml:space="preserve">17-Jun-26</t>
  </si>
  <si>
    <t xml:space="preserve">16-Aug-26</t>
  </si>
  <si>
    <t xml:space="preserve">47,554.00</t>
  </si>
  <si>
    <t xml:space="preserve">PO-7987</t>
  </si>
  <si>
    <t xml:space="preserve">HR/26-27/00623</t>
  </si>
  <si>
    <t xml:space="preserve">30,326.00</t>
  </si>
  <si>
    <t xml:space="preserve">HR/26-27/00717</t>
  </si>
  <si>
    <t xml:space="preserve">12/07/2026</t>
  </si>
  <si>
    <t xml:space="preserve">144,668.00</t>
  </si>
  <si>
    <t xml:space="preserve"> HR/26-27/00736 </t>
  </si>
  <si>
    <t xml:space="preserve">15/07/2026</t>
  </si>
  <si>
    <t xml:space="preserve">45,554.24</t>
  </si>
  <si>
    <t xml:space="preserve">PO-8125</t>
  </si>
  <si>
    <t xml:space="preserve">HR/26-27/01072</t>
  </si>
  <si>
    <t xml:space="preserve">46234</t>
  </si>
  <si>
    <t xml:space="preserve">2,01,088.00</t>
  </si>
  <si>
    <t xml:space="preserve">CN/26-27/0069</t>
  </si>
  <si>
    <t xml:space="preserve">-51300.00</t>
  </si>
  <si>
    <t xml:space="preserve">HR/26-27/01269</t>
  </si>
  <si>
    <t xml:space="preserve">2026-08-17</t>
  </si>
  <si>
    <t xml:space="preserve">2026-10-16</t>
  </si>
  <si>
    <t xml:space="preserve">76,700</t>
  </si>
  <si>
    <t xml:space="preserve">WO-707</t>
  </si>
  <si>
    <t xml:space="preserve">HR/26-27/01425</t>
  </si>
  <si>
    <t xml:space="preserve">WO-638</t>
  </si>
  <si>
    <t xml:space="preserve">HR/26-27/01657</t>
  </si>
  <si>
    <t xml:space="preserve">95,019.70</t>
  </si>
  <si>
    <t xml:space="preserve">PO/25/656</t>
  </si>
  <si>
    <t xml:space="preserve">HR/26-27/01690</t>
  </si>
  <si>
    <t xml:space="preserve">204,140.00</t>
  </si>
  <si>
    <t xml:space="preserve">PO-9063</t>
  </si>
  <si>
    <t xml:space="preserve">HR/26-27/01869</t>
  </si>
  <si>
    <t xml:space="preserve">₹ 528,640.00</t>
  </si>
  <si>
    <t xml:space="preserve">PO/25/822</t>
  </si>
  <si>
    <t xml:space="preserve">HR/26-27/02284</t>
  </si>
  <si>
    <t xml:space="preserve">21/11/2026</t>
  </si>
  <si>
    <t xml:space="preserve">₹ 159,182.00</t>
  </si>
  <si>
    <t xml:space="preserve">4527030893</t>
  </si>
  <si>
    <t xml:space="preserve">HR/26-27/02011</t>
  </si>
  <si>
    <t xml:space="preserve">19,584.00</t>
  </si>
  <si>
    <t xml:space="preserve">4538586165</t>
  </si>
  <si>
    <t xml:space="preserve">21,63,834.08</t>
  </si>
  <si>
    <t xml:space="preserve">C10295 </t>
  </si>
  <si>
    <t xml:space="preserve">LAKESHORE TOOLING INC</t>
  </si>
  <si>
    <t xml:space="preserve">EXP/ 25-26/0168</t>
  </si>
  <si>
    <t xml:space="preserve">14,300.94</t>
  </si>
  <si>
    <t xml:space="preserve">USD</t>
  </si>
  <si>
    <t xml:space="preserve">EXP/26-27/0052</t>
  </si>
  <si>
    <t xml:space="preserve">16092.07</t>
  </si>
  <si>
    <t xml:space="preserve">usd</t>
  </si>
  <si>
    <t xml:space="preserve">WO-212</t>
  </si>
  <si>
    <t xml:space="preserve">EXP/26-27/0230</t>
  </si>
  <si>
    <t xml:space="preserve">27/10/2025</t>
  </si>
  <si>
    <t xml:space="preserve">2,799.28</t>
  </si>
  <si>
    <t xml:space="preserve">EXP/26-27/0112</t>
  </si>
  <si>
    <t xml:space="preserve">3,540.82</t>
  </si>
  <si>
    <t xml:space="preserve">WO-110</t>
  </si>
  <si>
    <t xml:space="preserve">EXP/26-27/0343</t>
  </si>
  <si>
    <t xml:space="preserve">1,021.72</t>
  </si>
  <si>
    <t xml:space="preserve">4574373179</t>
  </si>
  <si>
    <t xml:space="preserve">37,754.83</t>
  </si>
  <si>
    <t xml:space="preserve">C10305</t>
  </si>
  <si>
    <t xml:space="preserve">AL NOOR TRADING FZE</t>
  </si>
  <si>
    <t xml:space="preserve">CN/25-26/0074</t>
  </si>
  <si>
    <t xml:space="preserve">22/11/2025</t>
  </si>
  <si>
    <t xml:space="preserve">(2,335.70)</t>
  </si>
  <si>
    <t xml:space="preserve">EXP/26-27/0066</t>
  </si>
  <si>
    <t xml:space="preserve">15,714.44</t>
  </si>
  <si>
    <t xml:space="preserve">PO-7052</t>
  </si>
  <si>
    <t xml:space="preserve">EXP/26-27/0100</t>
  </si>
  <si>
    <t xml:space="preserve">1050.00</t>
  </si>
  <si>
    <t xml:space="preserve">US$</t>
  </si>
  <si>
    <t xml:space="preserve">PO/25/254</t>
  </si>
  <si>
    <t xml:space="preserve">EXP/26-27/0327</t>
  </si>
  <si>
    <t xml:space="preserve">46285</t>
  </si>
  <si>
    <t xml:space="preserve">4,050.00</t>
  </si>
  <si>
    <t xml:space="preserve">CN/26-27/0147</t>
  </si>
  <si>
    <t xml:space="preserve">(2396.84)</t>
  </si>
  <si>
    <t xml:space="preserve">EXP/26-27/0381</t>
  </si>
  <si>
    <t xml:space="preserve">12/10/2026</t>
  </si>
  <si>
    <t xml:space="preserve">2,436.52 </t>
  </si>
  <si>
    <t xml:space="preserve">EXP/26-27/0393</t>
  </si>
  <si>
    <t xml:space="preserve">2026-09-30</t>
  </si>
  <si>
    <t xml:space="preserve">1,350.00</t>
  </si>
  <si>
    <t xml:space="preserve">PO/25/609</t>
  </si>
  <si>
    <t xml:space="preserve">19,868.42</t>
  </si>
  <si>
    <t xml:space="preserve">c10308</t>
  </si>
  <si>
    <t xml:space="preserve">Venkateshwara Fabricators</t>
  </si>
  <si>
    <t xml:space="preserve">HR/25-26/03367</t>
  </si>
  <si>
    <t xml:space="preserve">14-Mar-26</t>
  </si>
  <si>
    <t xml:space="preserve">28-Apr-26</t>
  </si>
  <si>
    <t xml:space="preserve">23,335.98</t>
  </si>
  <si>
    <t xml:space="preserve">4577900309</t>
  </si>
  <si>
    <t xml:space="preserve">HR/26-27/00316</t>
  </si>
  <si>
    <t xml:space="preserve">23/05/2026</t>
  </si>
  <si>
    <t xml:space="preserve">26,078.00</t>
  </si>
  <si>
    <t xml:space="preserve">PO-9444</t>
  </si>
  <si>
    <t xml:space="preserve">HR/26-27/02084</t>
  </si>
  <si>
    <t xml:space="preserve">2026-10-31</t>
  </si>
  <si>
    <t xml:space="preserve">112,100.00</t>
  </si>
  <si>
    <t xml:space="preserve">4557422663</t>
  </si>
  <si>
    <t xml:space="preserve">1,61,513.98</t>
  </si>
  <si>
    <t xml:space="preserve">C10311</t>
  </si>
  <si>
    <t xml:space="preserve">NORTHFIELD FASTENERS LLC</t>
  </si>
  <si>
    <t xml:space="preserve">EXP/26-27/0025</t>
  </si>
  <si>
    <t xml:space="preserve">2,146.86</t>
  </si>
  <si>
    <t xml:space="preserve">4515206353</t>
  </si>
  <si>
    <t xml:space="preserve">EXP/26-27/0012</t>
  </si>
  <si>
    <t xml:space="preserve">12/05/2026</t>
  </si>
  <si>
    <t xml:space="preserve">11/07/2026</t>
  </si>
  <si>
    <t xml:space="preserve">1,442.48</t>
  </si>
  <si>
    <t xml:space="preserve">PO-6204</t>
  </si>
  <si>
    <t xml:space="preserve">EXP/26-27/0075</t>
  </si>
  <si>
    <t xml:space="preserve">07 Aug 2026</t>
  </si>
  <si>
    <t xml:space="preserve">06 Oct 2025</t>
  </si>
  <si>
    <t xml:space="preserve">23,250.00</t>
  </si>
  <si>
    <t xml:space="preserve">PO-3756</t>
  </si>
  <si>
    <t xml:space="preserve">RCT/26-27/00386</t>
  </si>
  <si>
    <t xml:space="preserve">6,900.00</t>
  </si>
  <si>
    <t xml:space="preserve">CHQ 562923</t>
  </si>
  <si>
    <t xml:space="preserve">19,939.34</t>
  </si>
  <si>
    <t xml:space="preserve">C10321</t>
  </si>
  <si>
    <t xml:space="preserve">Kodagu Coffee Curing Works</t>
  </si>
  <si>
    <t xml:space="preserve">HR/25-26/01382</t>
  </si>
  <si>
    <t xml:space="preserve">17/12/2025</t>
  </si>
  <si>
    <t xml:space="preserve">16/01/2026</t>
  </si>
  <si>
    <t xml:space="preserve">Rs. 57,702.00</t>
  </si>
  <si>
    <t xml:space="preserve">HR/25-26/01399</t>
  </si>
  <si>
    <t xml:space="preserve">21.12.2025</t>
  </si>
  <si>
    <t xml:space="preserve">20.01.2026</t>
  </si>
  <si>
    <t xml:space="preserve">42,716.00</t>
  </si>
  <si>
    <t xml:space="preserve">PO-5728</t>
  </si>
  <si>
    <t xml:space="preserve">Disputed - short supply</t>
  </si>
  <si>
    <t xml:space="preserve">Page 11 of 13</t>
  </si>
  <si>
    <t xml:space="preserve">HR/ 25-26/02778</t>
  </si>
  <si>
    <t xml:space="preserve">98,933.37 </t>
  </si>
  <si>
    <t xml:space="preserve">PO-8240</t>
  </si>
  <si>
    <t xml:space="preserve">HR/25-26/03104</t>
  </si>
  <si>
    <t xml:space="preserve">08-Mar-26</t>
  </si>
  <si>
    <t xml:space="preserve">07-Apr-26</t>
  </si>
  <si>
    <t xml:space="preserve">39,233.61</t>
  </si>
  <si>
    <t xml:space="preserve">HR/25-26/04018</t>
  </si>
  <si>
    <t xml:space="preserve">28/04/2026</t>
  </si>
  <si>
    <t xml:space="preserve">Rs. 36,696.54</t>
  </si>
  <si>
    <t xml:space="preserve">HR/26-27/00407</t>
  </si>
  <si>
    <t xml:space="preserve">02-Jun-26</t>
  </si>
  <si>
    <t xml:space="preserve">33798.73</t>
  </si>
  <si>
    <t xml:space="preserve">PO-1996</t>
  </si>
  <si>
    <t xml:space="preserve">HR/26-27/00460</t>
  </si>
  <si>
    <t xml:space="preserve">1,05,407.45</t>
  </si>
  <si>
    <t xml:space="preserve">HR/26-27/01490</t>
  </si>
  <si>
    <t xml:space="preserve">26-Aug-26</t>
  </si>
  <si>
    <t xml:space="preserve">25-Sep-26</t>
  </si>
  <si>
    <t xml:space="preserve">10,891.70</t>
  </si>
  <si>
    <t xml:space="preserve">PO-8529</t>
  </si>
  <si>
    <t xml:space="preserve">HR/26-27/02184</t>
  </si>
  <si>
    <t xml:space="preserve">2026-09-19</t>
  </si>
  <si>
    <t xml:space="preserve">38,940.00</t>
  </si>
  <si>
    <t xml:space="preserve">4567715541</t>
  </si>
  <si>
    <t xml:space="preserve">HR/26-27/02274</t>
  </si>
  <si>
    <t xml:space="preserve">22 Oct 2026</t>
  </si>
  <si>
    <t xml:space="preserve">216,080.04</t>
  </si>
  <si>
    <t xml:space="preserve">PO/25/322</t>
  </si>
  <si>
    <t xml:space="preserve">6,80,399.44</t>
  </si>
  <si>
    <t xml:space="preserve">C10330</t>
  </si>
  <si>
    <t xml:space="preserve">Sai Krishna Engineering Works</t>
  </si>
  <si>
    <t xml:space="preserve">HR/26-27/00204</t>
  </si>
  <si>
    <t xml:space="preserve">43,710.86</t>
  </si>
  <si>
    <t xml:space="preserve">DN/26-27/0006</t>
  </si>
  <si>
    <t xml:space="preserve">20,341.70</t>
  </si>
  <si>
    <t xml:space="preserve">WO-995</t>
  </si>
  <si>
    <t xml:space="preserve">HR/26-27/01285</t>
  </si>
  <si>
    <t xml:space="preserve">02.10.2026</t>
  </si>
  <si>
    <t xml:space="preserve">49,350.00</t>
  </si>
  <si>
    <t xml:space="preserve">PO-3940</t>
  </si>
  <si>
    <t xml:space="preserve">HR/26-27/01588</t>
  </si>
  <si>
    <t xml:space="preserve">312,346.00</t>
  </si>
  <si>
    <t xml:space="preserve">PO/25/956</t>
  </si>
  <si>
    <t xml:space="preserve">HR/26-27/01720</t>
  </si>
  <si>
    <t xml:space="preserve">122,112.00</t>
  </si>
  <si>
    <t xml:space="preserve">PO/25/251</t>
  </si>
  <si>
    <t xml:space="preserve">5,47,860.56</t>
  </si>
  <si>
    <t xml:space="preserve">C10334</t>
  </si>
  <si>
    <t xml:space="preserve">Nandi Hydraulics Pvt Ltd</t>
  </si>
  <si>
    <t xml:space="preserve">HR/26-27/00007</t>
  </si>
  <si>
    <t xml:space="preserve">02.04.2026</t>
  </si>
  <si>
    <t xml:space="preserve">17.05.2026</t>
  </si>
  <si>
    <t xml:space="preserve">121409.66</t>
  </si>
  <si>
    <t xml:space="preserve">HR/26-27/00072</t>
  </si>
  <si>
    <t xml:space="preserve">₹ 196,784.00</t>
  </si>
  <si>
    <t xml:space="preserve">CN/26-27/0067</t>
  </si>
  <si>
    <t xml:space="preserve">-78,000.00</t>
  </si>
  <si>
    <t xml:space="preserve">HR/26-27/01216</t>
  </si>
  <si>
    <t xml:space="preserve">12/08/2026</t>
  </si>
  <si>
    <t xml:space="preserve">43,680.00</t>
  </si>
  <si>
    <t xml:space="preserve">WO-672</t>
  </si>
  <si>
    <t xml:space="preserve">HR/26-27/01725</t>
  </si>
  <si>
    <t xml:space="preserve">166,575.02</t>
  </si>
  <si>
    <t xml:space="preserve">4555305400</t>
  </si>
  <si>
    <t xml:space="preserve">HR/26-27/01844</t>
  </si>
  <si>
    <t xml:space="preserve">Rs. 453,120.00</t>
  </si>
  <si>
    <t xml:space="preserve">4519835970</t>
  </si>
  <si>
    <t xml:space="preserve">HR/ 26-27/01856</t>
  </si>
  <si>
    <t xml:space="preserve">09.09.2026</t>
  </si>
  <si>
    <t xml:space="preserve">24.10.2026</t>
  </si>
  <si>
    <t xml:space="preserve">74712.23</t>
  </si>
  <si>
    <t xml:space="preserve">PO-2377</t>
  </si>
  <si>
    <t xml:space="preserve">  HR/26-27/02415 </t>
  </si>
  <si>
    <t xml:space="preserve">₹ 15,810.68</t>
  </si>
  <si>
    <t xml:space="preserve">4530548654</t>
  </si>
  <si>
    <t xml:space="preserve">9,94,091.59</t>
  </si>
  <si>
    <t xml:space="preserve">C10339</t>
  </si>
  <si>
    <t xml:space="preserve">SUNRISE BEARINGS CO</t>
  </si>
  <si>
    <t xml:space="preserve">HR/26-27/00515</t>
  </si>
  <si>
    <t xml:space="preserve">₹ 115,200.00</t>
  </si>
  <si>
    <t xml:space="preserve">RCT/26-27/00045</t>
  </si>
  <si>
    <t xml:space="preserve">28 Jun 2026</t>
  </si>
  <si>
    <t xml:space="preserve">3,93,000.00</t>
  </si>
  <si>
    <t xml:space="preserve">CHQ 536072</t>
  </si>
  <si>
    <t xml:space="preserve">HR/26-27/00572</t>
  </si>
  <si>
    <t xml:space="preserve">₹ 37,670.52</t>
  </si>
  <si>
    <t xml:space="preserve">HR/26-27/00721</t>
  </si>
  <si>
    <t xml:space="preserve">14.07.2026</t>
  </si>
  <si>
    <t xml:space="preserve">28.08.2026</t>
  </si>
  <si>
    <t xml:space="preserve">PO-5365</t>
  </si>
  <si>
    <t xml:space="preserve">HR/26-27/00769</t>
  </si>
  <si>
    <t xml:space="preserve">39,766.00</t>
  </si>
  <si>
    <t xml:space="preserve">PO/25/545</t>
  </si>
  <si>
    <t xml:space="preserve">HR/26-27/01372</t>
  </si>
  <si>
    <t xml:space="preserve">46255</t>
  </si>
  <si>
    <t xml:space="preserve">46300</t>
  </si>
  <si>
    <t xml:space="preserve">46,610.00 </t>
  </si>
  <si>
    <t xml:space="preserve">1,19,061.48-</t>
  </si>
  <si>
    <t xml:space="preserve">C10342 </t>
  </si>
  <si>
    <t xml:space="preserve">Trident Wire Products Pvt Ltd</t>
  </si>
  <si>
    <t xml:space="preserve">HR/25-26/01429</t>
  </si>
  <si>
    <t xml:space="preserve">23/02/2026</t>
  </si>
  <si>
    <t xml:space="preserve">50,976.00</t>
  </si>
  <si>
    <t xml:space="preserve">4563767959</t>
  </si>
  <si>
    <t xml:space="preserve">HR/25-26/00561</t>
  </si>
  <si>
    <t xml:space="preserve">2025-10-30</t>
  </si>
  <si>
    <t xml:space="preserve">292,008.81</t>
  </si>
  <si>
    <t xml:space="preserve">PO/25/519</t>
  </si>
  <si>
    <t xml:space="preserve">HR/25-26/02491</t>
  </si>
  <si>
    <t xml:space="preserve">9204.00</t>
  </si>
  <si>
    <t xml:space="preserve">HR/26-27/00226</t>
  </si>
  <si>
    <t xml:space="preserve">250,160</t>
  </si>
  <si>
    <t xml:space="preserve">PO/25/833</t>
  </si>
  <si>
    <t xml:space="preserve">HR/26-27/00536</t>
  </si>
  <si>
    <t xml:space="preserve">56,647.36</t>
  </si>
  <si>
    <t xml:space="preserve">  HR/26-27/00606 </t>
  </si>
  <si>
    <t xml:space="preserve">03-Jul-26</t>
  </si>
  <si>
    <t xml:space="preserve">447,928.00</t>
  </si>
  <si>
    <t xml:space="preserve">4589229783</t>
  </si>
  <si>
    <t xml:space="preserve">HR/26-27/00731</t>
  </si>
  <si>
    <t xml:space="preserve">₹ 42,995.19</t>
  </si>
  <si>
    <t xml:space="preserve">WO-909</t>
  </si>
  <si>
    <t xml:space="preserve">CN/26-27/0090</t>
  </si>
  <si>
    <t xml:space="preserve">22,252.43</t>
  </si>
  <si>
    <t xml:space="preserve">HR/26-27/01042</t>
  </si>
  <si>
    <t xml:space="preserve">28/07/2026</t>
  </si>
  <si>
    <t xml:space="preserve">42834.00</t>
  </si>
  <si>
    <t xml:space="preserve">PO/25/955</t>
  </si>
  <si>
    <t xml:space="preserve">HR/26-27/02057</t>
  </si>
  <si>
    <t xml:space="preserve">15/11/2026</t>
  </si>
  <si>
    <t xml:space="preserve">99474.00</t>
  </si>
  <si>
    <t xml:space="preserve">PO-6856</t>
  </si>
  <si>
    <t xml:space="preserve">CN/26-27/0141</t>
  </si>
  <si>
    <t xml:space="preserve">(79,400.00)</t>
  </si>
  <si>
    <t xml:space="preserve">Page 12 of 13</t>
  </si>
  <si>
    <t xml:space="preserve">C10342</t>
  </si>
  <si>
    <t xml:space="preserve">HR/26-27/02239</t>
  </si>
  <si>
    <t xml:space="preserve">109,740.00</t>
  </si>
  <si>
    <t xml:space="preserve">PO/26/822</t>
  </si>
  <si>
    <t xml:space="preserve">13,00,314.93</t>
  </si>
  <si>
    <t xml:space="preserve">C10348</t>
  </si>
  <si>
    <t xml:space="preserve">Mysore Castings &amp; Forgings</t>
  </si>
  <si>
    <t xml:space="preserve">HR/25-26/03407</t>
  </si>
  <si>
    <t xml:space="preserve">18/03/2026</t>
  </si>
  <si>
    <t xml:space="preserve">02/05/2026</t>
  </si>
  <si>
    <t xml:space="preserve">239658.00</t>
  </si>
  <si>
    <t xml:space="preserve">PO-2832</t>
  </si>
  <si>
    <t xml:space="preserve">  JV/26-27/0024</t>
  </si>
  <si>
    <t xml:space="preserve">09-Apr-26</t>
  </si>
  <si>
    <t xml:space="preserve">14,536.87</t>
  </si>
  <si>
    <t xml:space="preserve">HR/26-27/00135</t>
  </si>
  <si>
    <t xml:space="preserve">01/05/2026</t>
  </si>
  <si>
    <t xml:space="preserve">Rs. 232,932.00</t>
  </si>
  <si>
    <t xml:space="preserve">WO-543</t>
  </si>
  <si>
    <t xml:space="preserve">RCT/26-27/00018</t>
  </si>
  <si>
    <t xml:space="preserve">31/05/2026</t>
  </si>
  <si>
    <t xml:space="preserve">46400.00-</t>
  </si>
  <si>
    <t xml:space="preserve">NEFT 7876301066</t>
  </si>
  <si>
    <t xml:space="preserve">HR/26-27/00290</t>
  </si>
  <si>
    <t xml:space="preserve">117,082.86</t>
  </si>
  <si>
    <t xml:space="preserve">4596020923</t>
  </si>
  <si>
    <t xml:space="preserve">HR/26-27/01062</t>
  </si>
  <si>
    <t xml:space="preserve">2026-07-30</t>
  </si>
  <si>
    <t xml:space="preserve">₹ 36,934.00</t>
  </si>
  <si>
    <t xml:space="preserve">PO/26/430</t>
  </si>
  <si>
    <t xml:space="preserve">HR/26-27/01763</t>
  </si>
  <si>
    <t xml:space="preserve">119,076.42</t>
  </si>
  <si>
    <t xml:space="preserve">PO/26/428</t>
  </si>
  <si>
    <t xml:space="preserve">cn/26-27/0114</t>
  </si>
  <si>
    <t xml:space="preserve">-3,800.00</t>
  </si>
  <si>
    <t xml:space="preserve">HR/26-27/01911</t>
  </si>
  <si>
    <t xml:space="preserve">2026-09-10</t>
  </si>
  <si>
    <t xml:space="preserve">2026-10-25</t>
  </si>
  <si>
    <t xml:space="preserve">16,166.00</t>
  </si>
  <si>
    <t xml:space="preserve">PO-9024</t>
  </si>
  <si>
    <t xml:space="preserve">HR/26-27/02105</t>
  </si>
  <si>
    <t xml:space="preserve">228,714.73</t>
  </si>
  <si>
    <t xml:space="preserve">9,54,900.88</t>
  </si>
  <si>
    <t xml:space="preserve">C-10352</t>
  </si>
  <si>
    <t xml:space="preserve">Harsha Auto Centre</t>
  </si>
  <si>
    <t xml:space="preserve">CN/25-26/0033</t>
  </si>
  <si>
    <t xml:space="preserve">27/05/2025</t>
  </si>
  <si>
    <t xml:space="preserve">48,600.00</t>
  </si>
  <si>
    <t xml:space="preserve">HR/25-26/00948</t>
  </si>
  <si>
    <t xml:space="preserve">26/11/2025</t>
  </si>
  <si>
    <t xml:space="preserve">26/12/2025</t>
  </si>
  <si>
    <t xml:space="preserve">1,34,520.00</t>
  </si>
  <si>
    <t xml:space="preserve">WO-518</t>
  </si>
  <si>
    <t xml:space="preserve">RCT/25-26/00712</t>
  </si>
  <si>
    <t xml:space="preserve">1,57,000.00-</t>
  </si>
  <si>
    <t xml:space="preserve">NEFT 8451286656</t>
  </si>
  <si>
    <t xml:space="preserve">HR/26-27/00010</t>
  </si>
  <si>
    <t xml:space="preserve">03/04/2026</t>
  </si>
  <si>
    <t xml:space="preserve">03 May 2026</t>
  </si>
  <si>
    <t xml:space="preserve">1,14,584.17</t>
  </si>
  <si>
    <t xml:space="preserve">HR/26-27/00692</t>
  </si>
  <si>
    <t xml:space="preserve">24,544.00</t>
  </si>
  <si>
    <t xml:space="preserve">hr/26-27/00899</t>
  </si>
  <si>
    <t xml:space="preserve">2025-08-22</t>
  </si>
  <si>
    <t xml:space="preserve">39,927.71</t>
  </si>
  <si>
    <t xml:space="preserve">HR/26-27/01603</t>
  </si>
  <si>
    <t xml:space="preserve">34,118.18 </t>
  </si>
  <si>
    <t xml:space="preserve">4534130167</t>
  </si>
  <si>
    <t xml:space="preserve">HR/26-27/02189</t>
  </si>
  <si>
    <t xml:space="preserve">46315</t>
  </si>
  <si>
    <t xml:space="preserve">99946.00</t>
  </si>
  <si>
    <t xml:space="preserve">PO-4768</t>
  </si>
  <si>
    <t xml:space="preserve">hr/26-27/01713</t>
  </si>
  <si>
    <t xml:space="preserve">227,150.00 </t>
  </si>
  <si>
    <t xml:space="preserve">WO-721</t>
  </si>
  <si>
    <t xml:space="preserve">CN/26-27/0151</t>
  </si>
  <si>
    <t xml:space="preserve">28-Sep-26</t>
  </si>
  <si>
    <t xml:space="preserve">19,600.00-</t>
  </si>
  <si>
    <t xml:space="preserve">HR/26-27/02339</t>
  </si>
  <si>
    <t xml:space="preserve">155,052.00</t>
  </si>
  <si>
    <t xml:space="preserve">PO-7709</t>
  </si>
  <si>
    <t xml:space="preserve">6,04,642.06</t>
  </si>
  <si>
    <t xml:space="preserve">C10363</t>
  </si>
  <si>
    <t xml:space="preserve">Ananta Pharma Machinery</t>
  </si>
  <si>
    <t xml:space="preserve">HR/25-26/00895</t>
  </si>
  <si>
    <t xml:space="preserve">20-Nov-25</t>
  </si>
  <si>
    <t xml:space="preserve">19-Jan-26</t>
  </si>
  <si>
    <t xml:space="preserve">₹ 25,016.00</t>
  </si>
  <si>
    <t xml:space="preserve">4569310288</t>
  </si>
  <si>
    <t xml:space="preserve">HR/25-26/01380</t>
  </si>
  <si>
    <t xml:space="preserve">15/12/2025</t>
  </si>
  <si>
    <t xml:space="preserve">7,788.00 </t>
  </si>
  <si>
    <t xml:space="preserve">PO-2747</t>
  </si>
  <si>
    <t xml:space="preserve">HR/25-26/03067</t>
  </si>
  <si>
    <t xml:space="preserve">99,870.01</t>
  </si>
  <si>
    <t xml:space="preserve">HR/25-26/03448</t>
  </si>
  <si>
    <t xml:space="preserve">Rs. 74,930.00</t>
  </si>
  <si>
    <t xml:space="preserve">PO/25/199</t>
  </si>
  <si>
    <t xml:space="preserve">HR/26-27/00012</t>
  </si>
  <si>
    <t xml:space="preserve">158002.00</t>
  </si>
  <si>
    <t xml:space="preserve">WO-610</t>
  </si>
  <si>
    <t xml:space="preserve">HR/26-27/00432</t>
  </si>
  <si>
    <t xml:space="preserve">08-Jun-26</t>
  </si>
  <si>
    <t xml:space="preserve">07-Aug-26</t>
  </si>
  <si>
    <t xml:space="preserve">63,130.00</t>
  </si>
  <si>
    <t xml:space="preserve">PO-7697</t>
  </si>
  <si>
    <t xml:space="preserve">HR/26-27/00882</t>
  </si>
  <si>
    <t xml:space="preserve">33,346.86</t>
  </si>
  <si>
    <t xml:space="preserve">PO/25/299</t>
  </si>
  <si>
    <t xml:space="preserve">hr/26-27/00882</t>
  </si>
  <si>
    <t xml:space="preserve">HR/26-27/01460</t>
  </si>
  <si>
    <t xml:space="preserve">66,406.97</t>
  </si>
  <si>
    <t xml:space="preserve">4532977501</t>
  </si>
  <si>
    <t xml:space="preserve">HR/26-27/01558</t>
  </si>
  <si>
    <t xml:space="preserve">22,302.00</t>
  </si>
  <si>
    <t xml:space="preserve">PO/26/321</t>
  </si>
  <si>
    <t xml:space="preserve">5,50,791.84</t>
  </si>
  <si>
    <t xml:space="preserve">C10371</t>
  </si>
  <si>
    <t xml:space="preserve">Vijayanagar Building Supplies</t>
  </si>
  <si>
    <t xml:space="preserve">HR/26-27/01821</t>
  </si>
  <si>
    <t xml:space="preserve">08-Sep-26</t>
  </si>
  <si>
    <t xml:space="preserve">08-Oct-26</t>
  </si>
  <si>
    <t xml:space="preserve">34,545</t>
  </si>
  <si>
    <t xml:space="preserve">HR/ 26-27/02307</t>
  </si>
  <si>
    <t xml:space="preserve">49,678.00</t>
  </si>
  <si>
    <t xml:space="preserve">PO-1852</t>
  </si>
  <si>
    <t xml:space="preserve">JV/26-27/0037</t>
  </si>
  <si>
    <t xml:space="preserve">16,859.80</t>
  </si>
  <si>
    <t xml:space="preserve">1,01,082.80</t>
  </si>
  <si>
    <t xml:space="preserve">*** GRAND TOTAL (INR) ***</t>
  </si>
  <si>
    <t xml:space="preserve">4,50,62,632.30</t>
  </si>
  <si>
    <t xml:space="preserve">*** GRAND TOTAL (USD) ***</t>
  </si>
  <si>
    <t xml:space="preserve">77,562.59</t>
  </si>
  <si>
    <t xml:space="preserve">*** GRAND TOTAL (EUR) ***</t>
  </si>
  <si>
    <t xml:space="preserve">Page 13 of 13</t>
  </si>
  <si>
    <t xml:space="preserve">*** End of report ***</t>
  </si>
  <si>
    <t xml:space="preserve">CustCode</t>
  </si>
  <si>
    <t xml:space="preserve">CustomerName</t>
  </si>
  <si>
    <t xml:space="preserve">Region</t>
  </si>
  <si>
    <t xml:space="preserve">Segment</t>
  </si>
  <si>
    <t xml:space="preserve">DocNo</t>
  </si>
  <si>
    <t xml:space="preserve">DocType</t>
  </si>
  <si>
    <t xml:space="preserve">DocDate</t>
  </si>
  <si>
    <t xml:space="preserve">DueDate</t>
  </si>
  <si>
    <t xml:space="preserve">TermsDays</t>
  </si>
  <si>
    <t xml:space="preserve">Currency</t>
  </si>
  <si>
    <t xml:space="preserve">SalesRep</t>
  </si>
  <si>
    <t xml:space="preserve">PORef</t>
  </si>
  <si>
    <t xml:space="preserve">IsDisputed</t>
  </si>
  <si>
    <t xml:space="preserve">DaysPastDue</t>
  </si>
  <si>
    <t xml:space="preserve">AgingBucket</t>
  </si>
  <si>
    <t xml:space="preserve">DataFlag</t>
  </si>
  <si>
    <t xml:space="preserve">C10008</t>
  </si>
  <si>
    <t xml:space="preserve">Andhra Pradesh</t>
  </si>
  <si>
    <t xml:space="preserve">Packaging</t>
  </si>
  <si>
    <t xml:space="preserve">Invoice</t>
  </si>
  <si>
    <t xml:space="preserve">180+</t>
  </si>
  <si>
    <t xml:space="preserve">Journal</t>
  </si>
  <si>
    <t xml:space="preserve">terms blank - master default</t>
  </si>
  <si>
    <t xml:space="preserve">91-180</t>
  </si>
  <si>
    <t xml:space="preserve">due date missing - derived from terms</t>
  </si>
  <si>
    <t xml:space="preserve">61-90</t>
  </si>
  <si>
    <t xml:space="preserve">Unassigned</t>
  </si>
  <si>
    <t xml:space="preserve">31-60</t>
  </si>
  <si>
    <t xml:space="preserve">Debit Note</t>
  </si>
  <si>
    <t xml:space="preserve">1-30</t>
  </si>
  <si>
    <t xml:space="preserve">currency blank - assumed INR</t>
  </si>
  <si>
    <t xml:space="preserve">Not due</t>
  </si>
  <si>
    <t xml:space="preserve">Tamil Nadu</t>
  </si>
  <si>
    <t xml:space="preserve">Trading</t>
  </si>
  <si>
    <t xml:space="preserve">Credit Note</t>
  </si>
  <si>
    <t xml:space="preserve">Bengaluru</t>
  </si>
  <si>
    <t xml:space="preserve">Maharashtra</t>
  </si>
  <si>
    <t xml:space="preserve">Engineering</t>
  </si>
  <si>
    <t xml:space="preserve">HR/26-27/01363</t>
  </si>
  <si>
    <t xml:space="preserve">HR/26-27/01968</t>
  </si>
  <si>
    <t xml:space="preserve">HR/26-27/02020</t>
  </si>
  <si>
    <t xml:space="preserve">C10031</t>
  </si>
  <si>
    <t xml:space="preserve">Karnataka</t>
  </si>
  <si>
    <t xml:space="preserve">RCT/26-27/00024</t>
  </si>
  <si>
    <t xml:space="preserve">On-Account Receipt</t>
  </si>
  <si>
    <t xml:space="preserve">sign corrected</t>
  </si>
  <si>
    <t xml:space="preserve">Agri</t>
  </si>
  <si>
    <t xml:space="preserve">HR/26-27/00696</t>
  </si>
  <si>
    <t xml:space="preserve">Export</t>
  </si>
  <si>
    <t xml:space="preserve">Automotive</t>
  </si>
  <si>
    <t xml:space="preserve">Deccan Pumps &amp; Motors Pvt Ltd</t>
  </si>
  <si>
    <t xml:space="preserve">Telangana</t>
  </si>
  <si>
    <t xml:space="preserve">HR/26-27/00124</t>
  </si>
  <si>
    <t xml:space="preserve">HR/26-27/00418</t>
  </si>
  <si>
    <t xml:space="preserve">Tejas Precision Castings</t>
  </si>
  <si>
    <t xml:space="preserve">due date before doc date - rebuilt</t>
  </si>
  <si>
    <t xml:space="preserve">HR/26-27/01647</t>
  </si>
  <si>
    <t xml:space="preserve">Mahalakshmi Fasteners</t>
  </si>
  <si>
    <t xml:space="preserve">HR/25-26/02387</t>
  </si>
  <si>
    <t xml:space="preserve">CN/26-27/0047</t>
  </si>
  <si>
    <t xml:space="preserve">HR/26-27/00834</t>
  </si>
  <si>
    <t xml:space="preserve">HR/25-26/04141</t>
  </si>
  <si>
    <t xml:space="preserve">HR/26-27/02298</t>
  </si>
  <si>
    <t xml:space="preserve">HR/26-27/02407</t>
  </si>
  <si>
    <t xml:space="preserve">Kaveri Auto Components Pvt Ltd</t>
  </si>
  <si>
    <t xml:space="preserve">C10112</t>
  </si>
  <si>
    <t xml:space="preserve">Pharma</t>
  </si>
  <si>
    <t xml:space="preserve">HR/26-27/00809</t>
  </si>
  <si>
    <t xml:space="preserve">HR/26-27/01198</t>
  </si>
  <si>
    <t xml:space="preserve">HR/26-27/01227</t>
  </si>
  <si>
    <t xml:space="preserve">Madurai Textile Machinery</t>
  </si>
  <si>
    <t xml:space="preserve">HR/26-27/00620</t>
  </si>
  <si>
    <t xml:space="preserve">Electronics</t>
  </si>
  <si>
    <t xml:space="preserve">due date missing - derived from terms; terms blank - master default</t>
  </si>
  <si>
    <t xml:space="preserve">HR/26-27/01037</t>
  </si>
  <si>
    <t xml:space="preserve">Kumaran Alloys</t>
  </si>
  <si>
    <t xml:space="preserve">HR/25-26/00203</t>
  </si>
  <si>
    <t xml:space="preserve">customer not in master</t>
  </si>
  <si>
    <t xml:space="preserve">HR/25-26/04190</t>
  </si>
  <si>
    <t xml:space="preserve">HR/26-27/00017</t>
  </si>
  <si>
    <t xml:space="preserve">C10150</t>
  </si>
  <si>
    <t xml:space="preserve">HR/26-27/00029</t>
  </si>
  <si>
    <t xml:space="preserve">HR/26-27/01353</t>
  </si>
  <si>
    <t xml:space="preserve">HR/26-27/02183</t>
  </si>
  <si>
    <t xml:space="preserve">HR/26-27/00273</t>
  </si>
  <si>
    <t xml:space="preserve">C10156</t>
  </si>
  <si>
    <t xml:space="preserve">Nilgiri Tea Estates Pvt Ltd</t>
  </si>
  <si>
    <t xml:space="preserve">CN/25-26/0143</t>
  </si>
  <si>
    <t xml:space="preserve">HR/26-27/01325</t>
  </si>
  <si>
    <t xml:space="preserve">C10171</t>
  </si>
  <si>
    <t xml:space="preserve">HR/26-27/01999</t>
  </si>
  <si>
    <t xml:space="preserve">KR Puram Cold Storage</t>
  </si>
  <si>
    <t xml:space="preserve">C10200</t>
  </si>
  <si>
    <t xml:space="preserve">Shree Ganesh Hardware</t>
  </si>
  <si>
    <t xml:space="preserve">HR/26-27/01137</t>
  </si>
  <si>
    <t xml:space="preserve">Kerala</t>
  </si>
  <si>
    <t xml:space="preserve">HR/26-27/02006</t>
  </si>
  <si>
    <t xml:space="preserve">Construction</t>
  </si>
  <si>
    <t xml:space="preserve">HR/26-27/00527</t>
  </si>
  <si>
    <t xml:space="preserve">HR/26-27/01733</t>
  </si>
  <si>
    <t xml:space="preserve">HR/26-27/01785</t>
  </si>
  <si>
    <t xml:space="preserve">due date missing - derived from terms; currency blank - assumed INR; terms blank - master default</t>
  </si>
  <si>
    <t xml:space="preserve">C10227</t>
  </si>
  <si>
    <t xml:space="preserve">Hoysala Packaging Industries</t>
  </si>
  <si>
    <t xml:space="preserve">HR/26-27/01624</t>
  </si>
  <si>
    <t xml:space="preserve">HR/26-27/02112</t>
  </si>
  <si>
    <t xml:space="preserve">C10237</t>
  </si>
  <si>
    <t xml:space="preserve">Surya Roofing Systems</t>
  </si>
  <si>
    <t xml:space="preserve">HR/26-27/00009</t>
  </si>
  <si>
    <t xml:space="preserve">Pearl City Electricals</t>
  </si>
  <si>
    <t xml:space="preserve">HR/26-27/00673</t>
  </si>
  <si>
    <t xml:space="preserve">HR/26-27/01051</t>
  </si>
  <si>
    <t xml:space="preserve">HR/25-26/00274</t>
  </si>
  <si>
    <t xml:space="preserve">JV/25-26/0005</t>
  </si>
  <si>
    <t xml:space="preserve">HR/26-27/01444</t>
  </si>
  <si>
    <t xml:space="preserve">Balaji Material Handling</t>
  </si>
  <si>
    <t xml:space="preserve">C10260</t>
  </si>
  <si>
    <t xml:space="preserve">HR/26-27/00345</t>
  </si>
  <si>
    <t xml:space="preserve">HR/26-27/01565</t>
  </si>
  <si>
    <t xml:space="preserve">HR/26-27/01347</t>
  </si>
  <si>
    <t xml:space="preserve">Gujarat</t>
  </si>
  <si>
    <t xml:space="preserve">HR/26-27/00736</t>
  </si>
  <si>
    <t xml:space="preserve">C10295</t>
  </si>
  <si>
    <t xml:space="preserve">Lakeshore Tooling Inc</t>
  </si>
  <si>
    <t xml:space="preserve">EXP/25-26/0168</t>
  </si>
  <si>
    <t xml:space="preserve">Al Noor Trading FZE</t>
  </si>
  <si>
    <t xml:space="preserve">C10308</t>
  </si>
  <si>
    <t xml:space="preserve">Northfield Fasteners LLC</t>
  </si>
  <si>
    <t xml:space="preserve">HR/25-26/02778</t>
  </si>
  <si>
    <t xml:space="preserve">HR/26-27/01856</t>
  </si>
  <si>
    <t xml:space="preserve">HR/26-27/02415</t>
  </si>
  <si>
    <t xml:space="preserve">Sunrise Bearings Co</t>
  </si>
  <si>
    <t xml:space="preserve">HR/26-27/00606</t>
  </si>
  <si>
    <t xml:space="preserve">JV/26-27/0024</t>
  </si>
  <si>
    <t xml:space="preserve">CN/26-27/0114</t>
  </si>
  <si>
    <t xml:space="preserve">C10352</t>
  </si>
  <si>
    <t xml:space="preserve">customer not in master; sign corrected</t>
  </si>
  <si>
    <t xml:space="preserve">HR/26-27/00899</t>
  </si>
  <si>
    <t xml:space="preserve">due date before doc date - rebuilt; customer not in master</t>
  </si>
  <si>
    <t xml:space="preserve">due date missing - derived from terms; customer not in master</t>
  </si>
  <si>
    <t xml:space="preserve">HR/26-27/01713</t>
  </si>
  <si>
    <t xml:space="preserve">HR/26-27/02307</t>
  </si>
  <si>
    <t xml:space="preserve">Before and after - real fields from the raw file</t>
  </si>
  <si>
    <t xml:space="preserve">Raw values are shown in quotes so stray spaces are visible. Doc No is the clean document number the row ends up under.</t>
  </si>
  <si>
    <t xml:space="preserve">Field</t>
  </si>
  <si>
    <t xml:space="preserve">What is wrong</t>
  </si>
  <si>
    <t xml:space="preserve">Before (raw)</t>
  </si>
  <si>
    <t xml:space="preserve">After (clean)</t>
  </si>
  <si>
    <t xml:space="preserve">Query step</t>
  </si>
  <si>
    <t xml:space="preserve">Customer code</t>
  </si>
  <si>
    <t xml:space="preserve">lower case</t>
  </si>
  <si>
    <t xml:space="preserve">"c10031"</t>
  </si>
  <si>
    <t xml:space="preserve">CodeFix</t>
  </si>
  <si>
    <t xml:space="preserve">extra dash</t>
  </si>
  <si>
    <t xml:space="preserve">"C-10156"</t>
  </si>
  <si>
    <t xml:space="preserve">Customer code + name</t>
  </si>
  <si>
    <t xml:space="preserve">only printed on first line of the block</t>
  </si>
  <si>
    <t xml:space="preserve">(blank) / (blank)</t>
  </si>
  <si>
    <t xml:space="preserve">C10008 / Sagar Polypack</t>
  </si>
  <si>
    <t xml:space="preserve">FillDown</t>
  </si>
  <si>
    <t xml:space="preserve">Customer name</t>
  </si>
  <si>
    <t xml:space="preserve">shouted in capitals</t>
  </si>
  <si>
    <t xml:space="preserve">"MAHALAKSHMI FASTENERS"</t>
  </si>
  <si>
    <t xml:space="preserve">"Mahalakshmi Fasteners"</t>
  </si>
  <si>
    <t xml:space="preserve">JoinCust (master)</t>
  </si>
  <si>
    <t xml:space="preserve">company suffix written differently</t>
  </si>
  <si>
    <t xml:space="preserve">"Deccan Pumps &amp; Motors Private Limited"</t>
  </si>
  <si>
    <t xml:space="preserve">"Deccan Pumps &amp; Motors Pvt Ltd"</t>
  </si>
  <si>
    <t xml:space="preserve">new customer, not in master yet</t>
  </si>
  <si>
    <t xml:space="preserve">"kumaran alloys"</t>
  </si>
  <si>
    <t xml:space="preserve">"Kumaran Alloys" + flag</t>
  </si>
  <si>
    <t xml:space="preserve">CustomerName (Text.Proper) + DataFlag</t>
  </si>
  <si>
    <t xml:space="preserve">Doc type</t>
  </si>
  <si>
    <t xml:space="preserve">long-hand code</t>
  </si>
  <si>
    <t xml:space="preserve">"Cr Note"</t>
  </si>
  <si>
    <t xml:space="preserve">DocTypeMap</t>
  </si>
  <si>
    <t xml:space="preserve">three codes for the same thing</t>
  </si>
  <si>
    <t xml:space="preserve">"ADV"</t>
  </si>
  <si>
    <t xml:space="preserve">Doc no</t>
  </si>
  <si>
    <t xml:space="preserve">stray spaces / lower case</t>
  </si>
  <si>
    <t xml:space="preserve">" HR/26-27/01968"</t>
  </si>
  <si>
    <t xml:space="preserve">"HR/26-27/01968"</t>
  </si>
  <si>
    <t xml:space="preserve">DocNoStd</t>
  </si>
  <si>
    <t xml:space="preserve">Doc date</t>
  </si>
  <si>
    <t xml:space="preserve">Excel serial number saved as text</t>
  </si>
  <si>
    <t xml:space="preserve">"46260"</t>
  </si>
  <si>
    <t xml:space="preserve">2026-08-26</t>
  </si>
  <si>
    <t xml:space="preserve">fnParseDate</t>
  </si>
  <si>
    <t xml:space="preserve">dd-Mon-yy</t>
  </si>
  <si>
    <t xml:space="preserve">"11-Jul-26"</t>
  </si>
  <si>
    <t xml:space="preserve">2026-07-11</t>
  </si>
  <si>
    <t xml:space="preserve">dots as separator</t>
  </si>
  <si>
    <t xml:space="preserve">"07.08.2026"</t>
  </si>
  <si>
    <t xml:space="preserve">2026-08-07</t>
  </si>
  <si>
    <t xml:space="preserve">Due date</t>
  </si>
  <si>
    <t xml:space="preserve">ISO format in a dd/mm/yyyy column</t>
  </si>
  <si>
    <t xml:space="preserve">"2026-10-13"</t>
  </si>
  <si>
    <t xml:space="preserve">negative in brackets</t>
  </si>
  <si>
    <t xml:space="preserve">"(22,900.00)"</t>
  </si>
  <si>
    <t xml:space="preserve">-22900.00</t>
  </si>
  <si>
    <t xml:space="preserve">fnParseAmount</t>
  </si>
  <si>
    <t xml:space="preserve">trailing minus (ERP style)</t>
  </si>
  <si>
    <t xml:space="preserve">"20,619.99-"</t>
  </si>
  <si>
    <t xml:space="preserve">-20619.99</t>
  </si>
  <si>
    <t xml:space="preserve">"Rs." typed in front</t>
  </si>
  <si>
    <t xml:space="preserve">"Rs. 84,684.97"</t>
  </si>
  <si>
    <t xml:space="preserve">84684.97</t>
  </si>
  <si>
    <t xml:space="preserve">credit note printed as a positive number</t>
  </si>
  <si>
    <t xml:space="preserve">"5,500.00" on a "Cr Note"</t>
  </si>
  <si>
    <t xml:space="preserve">-5500.00</t>
  </si>
  <si>
    <t xml:space="preserve">AmountSigned</t>
  </si>
  <si>
    <t xml:space="preserve">"Rs"</t>
  </si>
  <si>
    <t xml:space="preserve">euro sign</t>
  </si>
  <si>
    <t xml:space="preserve">"€"</t>
  </si>
  <si>
    <t xml:space="preserve">blank</t>
  </si>
  <si>
    <t xml:space="preserve">(blank)</t>
  </si>
  <si>
    <t xml:space="preserve">INR + flag</t>
  </si>
  <si>
    <t xml:space="preserve">Currency + DataFlag</t>
  </si>
  <si>
    <t xml:space="preserve">"N30"</t>
  </si>
  <si>
    <t xml:space="preserve">30</t>
  </si>
  <si>
    <t xml:space="preserve">fnTermsDays</t>
  </si>
  <si>
    <t xml:space="preserve">words instead of days</t>
  </si>
  <si>
    <t xml:space="preserve">"On receipt"</t>
  </si>
  <si>
    <t xml:space="preserve">0</t>
  </si>
  <si>
    <t xml:space="preserve">blank, so use customer default</t>
  </si>
  <si>
    <t xml:space="preserve">TermsDays + dimCustomer</t>
  </si>
  <si>
    <t xml:space="preserve">blank on an invoice</t>
  </si>
  <si>
    <t xml:space="preserve">(blank) (doc date 29/03/2026, terms "Net 30")</t>
  </si>
  <si>
    <t xml:space="preserve">2026-04-28</t>
  </si>
  <si>
    <t xml:space="preserve">DueDateStd</t>
  </si>
  <si>
    <t xml:space="preserve">year typed wrong, due before invoice date</t>
  </si>
  <si>
    <t xml:space="preserve">"14/02/2025" (doc date 31/12/2025)</t>
  </si>
  <si>
    <t xml:space="preserve">2026-02-14</t>
  </si>
  <si>
    <t xml:space="preserve">Sales rep</t>
  </si>
  <si>
    <t xml:space="preserve">initial + full stop</t>
  </si>
  <si>
    <t xml:space="preserve">"ramesh k."</t>
  </si>
  <si>
    <t xml:space="preserve">dimRepAlias</t>
  </si>
  <si>
    <t xml:space="preserve">first initial only</t>
  </si>
  <si>
    <t xml:space="preserve">"R. Kumar"</t>
  </si>
  <si>
    <t xml:space="preserve">SalesRepFinal</t>
  </si>
  <si>
    <t xml:space="preserve">placeholder text</t>
  </si>
  <si>
    <t xml:space="preserve">"-"</t>
  </si>
  <si>
    <t xml:space="preserve">(null)</t>
  </si>
  <si>
    <t xml:space="preserve">PORefClean</t>
  </si>
  <si>
    <t xml:space="preserve">free text dispute note</t>
  </si>
  <si>
    <t xml:space="preserve">"DISP"</t>
  </si>
  <si>
    <t xml:space="preserve">IsDisputed = TRUE</t>
  </si>
  <si>
    <t xml:space="preserve">Issues found in the raw export</t>
  </si>
  <si>
    <t xml:space="preserve">Raw file: 670 lines -&gt; 510 document lines -&gt; 497 clean open items. Counts are lines (or cells, for dates) in the raw file, taken from the CSV.</t>
  </si>
  <si>
    <t xml:space="preserve">#</t>
  </si>
  <si>
    <t xml:space="preserve">What is wrong in the raw export</t>
  </si>
  <si>
    <t xml:space="preserve">How the query handles it</t>
  </si>
  <si>
    <t xml:space="preserve">Step</t>
  </si>
  <si>
    <t xml:space="preserve">Count</t>
  </si>
  <si>
    <t xml:space="preserve">Report furniture: titles, page footers, blank lines, repeated column headers, customer totals and grand totals</t>
  </si>
  <si>
    <t xml:space="preserve">Keep only rows that have a document Type, and drop the repeated header row</t>
  </si>
  <si>
    <t xml:space="preserve">DocLines</t>
  </si>
  <si>
    <t xml:space="preserve">Customer code and name printed only on the first line of each customer block</t>
  </si>
  <si>
    <t xml:space="preserve">Table.FillDown on both columns</t>
  </si>
  <si>
    <t xml:space="preserve">Filled</t>
  </si>
  <si>
    <t xml:space="preserve">Customer code typed several ways (c10031, C-10156, "C 10156", trailing space)</t>
  </si>
  <si>
    <t xml:space="preserve">Upper-case, remove dashes and spaces</t>
  </si>
  <si>
    <t xml:space="preserve">Customer name spelled differently from the master (capitals, Pvt. Ltd. / Private Limited, &amp; / and)</t>
  </si>
  <si>
    <t xml:space="preserve">Take the name from the customer master, joined on the code</t>
  </si>
  <si>
    <t xml:space="preserve">JoinCust</t>
  </si>
  <si>
    <t xml:space="preserve">Customer not in the master</t>
  </si>
  <si>
    <t xml:space="preserve">Fall back to the raw name in proper case, and flag the row</t>
  </si>
  <si>
    <t xml:space="preserve">CustomerName / DataFlag</t>
  </si>
  <si>
    <t xml:space="preserve">Document type written as INV / Inv / INVOICE, CN / Cr Note, RCT / PMT / ADV and so on</t>
  </si>
  <si>
    <t xml:space="preserve">Map to five standard types</t>
  </si>
  <si>
    <t xml:space="preserve">DocTypeStd</t>
  </si>
  <si>
    <t xml:space="preserve">Document numbers with stray spaces or lower case</t>
  </si>
  <si>
    <t xml:space="preserve">Remove spaces, upper-case</t>
  </si>
  <si>
    <t xml:space="preserve">Dates in six formats, including Excel serial numbers saved as text (cells, doc date + due date)</t>
  </si>
  <si>
    <t xml:space="preserve">fnParseDate tries each format explicitly</t>
  </si>
  <si>
    <t xml:space="preserve">DocDateP / DueDateP</t>
  </si>
  <si>
    <t xml:space="preserve">Amounts stored as text: brackets, trailing minus, Rs. / rupee sign, lakh grouping (1,24,500.00)</t>
  </si>
  <si>
    <t xml:space="preserve">fnParseAmount strips symbols and commas and applies the sign</t>
  </si>
  <si>
    <t xml:space="preserve">AmountP</t>
  </si>
  <si>
    <t xml:space="preserve">Credit notes / receipts printed as positive numbers</t>
  </si>
  <si>
    <t xml:space="preserve">Force negative for Credit Note and On-Account Receipt</t>
  </si>
  <si>
    <t xml:space="preserve">Currency written as INR, Rs, the rupee sign, inr, US$, the euro sign...</t>
  </si>
  <si>
    <t xml:space="preserve">Map to ISO codes</t>
  </si>
  <si>
    <t xml:space="preserve">Currency blank</t>
  </si>
  <si>
    <t xml:space="preserve">Assume INR (functional currency) and flag</t>
  </si>
  <si>
    <t xml:space="preserve">Currency / DataFlag</t>
  </si>
  <si>
    <t xml:space="preserve">Payment terms as text: Net 30, NET30, 30D, N30, COD, On receipt</t>
  </si>
  <si>
    <t xml:space="preserve">fnTermsDays returns days</t>
  </si>
  <si>
    <t xml:space="preserve">Payment terms blank</t>
  </si>
  <si>
    <t xml:space="preserve">Use the customer master default (invoices and debit notes), flag</t>
  </si>
  <si>
    <t xml:space="preserve">TermsDays / DataFlag</t>
  </si>
  <si>
    <t xml:space="preserve">Due date blank on an invoice / debit note</t>
  </si>
  <si>
    <t xml:space="preserve">Doc date + terms days, flag</t>
  </si>
  <si>
    <t xml:space="preserve">Due date earlier than the invoice date (year typed wrong)</t>
  </si>
  <si>
    <t xml:space="preserve">Rebuild from doc date + terms days, flag</t>
  </si>
  <si>
    <t xml:space="preserve">Sales rep spelled 5 ways each</t>
  </si>
  <si>
    <t xml:space="preserve">Alias table keyed on lower-case letters only</t>
  </si>
  <si>
    <t xml:space="preserve">PO reference filled with N/A, NA, -, nil, none</t>
  </si>
  <si>
    <t xml:space="preserve">Set to null</t>
  </si>
  <si>
    <t xml:space="preserve">Dispute notes typed as free text in Remarks</t>
  </si>
  <si>
    <t xml:space="preserve">IsDisputed = remark contains "disp"</t>
  </si>
  <si>
    <t xml:space="preserve">Lines repeated at the top of the next page, and a few double postings</t>
  </si>
  <si>
    <t xml:space="preserve">Distinct on customer + doc no + type + amount (after standardising)</t>
  </si>
  <si>
    <t xml:space="preserve">Deduped</t>
  </si>
  <si>
    <t xml:space="preserve">Receivables ageing</t>
  </si>
  <si>
    <t xml:space="preserve">As on date</t>
  </si>
  <si>
    <t xml:space="preserve">Input: report date from the raw file header. Ageing buckets in Cleaned_Data were built against this date.</t>
  </si>
  <si>
    <t xml:space="preserve">Bucket</t>
  </si>
  <si>
    <t xml:space="preserve">Items</t>
  </si>
  <si>
    <t xml:space="preserve">Total</t>
  </si>
  <si>
    <t xml:space="preserve">Report grand total (raw file footer)</t>
  </si>
  <si>
    <t xml:space="preserve">Hard-coded from the "*** GRAND TOTAL ***" lines at the bottom of Raw_Data.</t>
  </si>
  <si>
    <t xml:space="preserve">Difference (should be 0)</t>
  </si>
  <si>
    <t xml:space="preserve">INR ageing by customer</t>
  </si>
  <si>
    <t xml:space="preserve">Customer</t>
  </si>
  <si>
    <t xml:space="preserve">DefaultTermsDays</t>
  </si>
  <si>
    <t xml:space="preserve">Alias</t>
  </si>
  <si>
    <t xml:space="preserve">Alias = the rep name as typed, reduced to lower-case letters (Ramesh K. -&gt; rameshk).</t>
  </si>
  <si>
    <t xml:space="preserve">anithar</t>
  </si>
  <si>
    <t xml:space="preserve">anitharao</t>
  </si>
  <si>
    <t xml:space="preserve">arao</t>
  </si>
  <si>
    <t xml:space="preserve">divyan</t>
  </si>
  <si>
    <t xml:space="preserve">divyanair</t>
  </si>
  <si>
    <t xml:space="preserve">dnair</t>
  </si>
  <si>
    <t xml:space="preserve">imrans</t>
  </si>
  <si>
    <t xml:space="preserve">imransheikh</t>
  </si>
  <si>
    <t xml:space="preserve">isheikh</t>
  </si>
  <si>
    <t xml:space="preserve">phegde</t>
  </si>
  <si>
    <t xml:space="preserve">prakashh</t>
  </si>
  <si>
    <t xml:space="preserve">prakashhegde</t>
  </si>
  <si>
    <t xml:space="preserve">ramesh</t>
  </si>
  <si>
    <t xml:space="preserve">rameshk</t>
  </si>
  <si>
    <t xml:space="preserve">rameshkumar</t>
  </si>
  <si>
    <t xml:space="preserve">rkumar</t>
  </si>
  <si>
    <t xml:space="preserve">sbabu</t>
  </si>
  <si>
    <t xml:space="preserve">sureshb</t>
  </si>
  <si>
    <t xml:space="preserve">sureshbabu</t>
  </si>
  <si>
    <t xml:space="preserve">// AR_Open_Items_Clean</t>
  </si>
  <si>
    <t xml:space="preserve">// Raw ERP open-items print (CSV) -&gt; one tidy row per open document.</t>
  </si>
  <si>
    <t xml:space="preserve">// Needs: pRepoPath, pAsOfDate, fnCleanText, fnParseDate, fnParseAmount, fnTermsDays, dimCustomer, dimRepAlias</t>
  </si>
  <si>
    <t xml:space="preserve">let</t>
  </si>
  <si>
    <t xml:space="preserve">    // ---- lookups kept at the top so they are easy to extend --------------------------------</t>
  </si>
  <si>
    <t xml:space="preserve">    DocTypeMap = [</t>
  </si>
  <si>
    <t xml:space="preserve">        INV = "Invoice", INVOICE = "Invoice",</t>
  </si>
  <si>
    <t xml:space="preserve">        CN = "Credit Note", #"CR NOTE" = "Credit Note", #"CREDIT NOTE" = "Credit Note",</t>
  </si>
  <si>
    <t xml:space="preserve">        DN = "Debit Note", #"DR NOTE" = "Debit Note",</t>
  </si>
  <si>
    <t xml:space="preserve">        PMT = "On-Account Receipt", RCT = "On-Account Receipt", ADV = "On-Account Receipt",</t>
  </si>
  <si>
    <t xml:space="preserve">        JV = "Journal"</t>
  </si>
  <si>
    <t xml:space="preserve">    ],</t>
  </si>
  <si>
    <t xml:space="preserve">    NoDueDateTypes = {"Credit Note", "On-Account Receipt", "Journal"},</t>
  </si>
  <si>
    <t xml:space="preserve">    BillingTypes = {"Invoice", "Debit Note"},</t>
  </si>
  <si>
    <t xml:space="preserve">    PlaceholderPO = {"N/A", "NA", "-", "--", "NIL", "NONE"},</t>
  </si>
  <si>
    <t xml:space="preserve">    // ---- 1. load the print exactly as exported ---------------------------------------------</t>
  </si>
  <si>
    <t xml:space="preserve">    Source = Csv.Document(</t>
  </si>
  <si>
    <t xml:space="preserve">        File.Contents(pRepoPath &amp; "\data\raw\raw_ar_open_items.csv"),</t>
  </si>
  <si>
    <t xml:space="preserve">        [Delimiter = ",", Columns = 12, Encoding = 65001, QuoteStyle = QuoteStyle.Csv]</t>
  </si>
  <si>
    <t xml:space="preserve">    ),</t>
  </si>
  <si>
    <t xml:space="preserve">    Named = Table.RenameColumns(</t>
  </si>
  <si>
    <t xml:space="preserve">        Source,</t>
  </si>
  <si>
    <t xml:space="preserve">        List.Zip({Table.ColumnNames(Source),</t>
  </si>
  <si>
    <t xml:space="preserve">                  {"CustCode", "CustName", "DocNo", "DocType", "DocDate", "DueDate",</t>
  </si>
  <si>
    <t xml:space="preserve">                   "Amount", "Curr", "Terms", "SalesRep", "PORef", "Remarks"}})</t>
  </si>
  <si>
    <t xml:space="preserve">    // ---- 2. trim everything, blanks -&gt; null -------------------------------------------------</t>
  </si>
  <si>
    <t xml:space="preserve">    Trimmed = Table.TransformColumns(</t>
  </si>
  <si>
    <t xml:space="preserve">        Named,</t>
  </si>
  <si>
    <t xml:space="preserve">        List.Transform(Table.ColumnNames(Named), each {_, fnCleanText, type nullable text})</t>
  </si>
  <si>
    <t xml:space="preserve">    // ---- 3. drop titles, page footers, repeated headers, customer totals, grand totals -----</t>
  </si>
  <si>
    <t xml:space="preserve">    //         (a real document line always has a Type; the repeated header row has DocNo = "Doc No")</t>
  </si>
  <si>
    <t xml:space="preserve">    DocLines = Table.SelectRows(Trimmed, each [DocType] &lt;&gt; null and [DocNo] &lt;&gt; "Doc No"),</t>
  </si>
  <si>
    <t xml:space="preserve">    // ---- 4. customer code / name only print on the first line of a block -&gt; fill down ------</t>
  </si>
  <si>
    <t xml:space="preserve">    Filled = Table.FillDown(DocLines, {"CustCode", "CustName"}),</t>
  </si>
  <si>
    <t xml:space="preserve">    // ---- 5. standardise code (c10023, C-10023, "C 10023" -&gt; C10023) and join the master ----</t>
  </si>
  <si>
    <t xml:space="preserve">    CodeFix = Table.TransformColumns(</t>
  </si>
  <si>
    <t xml:space="preserve">        Filled,</t>
  </si>
  <si>
    <t xml:space="preserve">        {{"CustCode", each Text.Upper(Text.Remove(_, {"-", " "})), type text}}</t>
  </si>
  <si>
    <t xml:space="preserve">    JoinCust = Table.NestedJoin(CodeFix, {"CustCode"}, dimCustomer, {"CustCode"}, "Cust", JoinKind.LeftOuter),</t>
  </si>
  <si>
    <t xml:space="preserve">    ExpandCust = Table.ExpandTableColumn(</t>
  </si>
  <si>
    <t xml:space="preserve">        JoinCust, "Cust",</t>
  </si>
  <si>
    <t xml:space="preserve">        {"CustomerName", "Region", "Segment", "DefaultTermsDays"},</t>
  </si>
  <si>
    <t xml:space="preserve">        {"MasterName", "Region", "Segment", "DefaultTermsDays"}</t>
  </si>
  <si>
    <t xml:space="preserve">    CustomerName = Table.AddColumn(</t>
  </si>
  <si>
    <t xml:space="preserve">        ExpandCust, "CustomerName",</t>
  </si>
  <si>
    <t xml:space="preserve">        each if [MasterName] &lt;&gt; null then [MasterName] else Text.Proper([CustName]), type text</t>
  </si>
  <si>
    <t xml:space="preserve">    // ---- 6. document type and number --------------------------------------------------------</t>
  </si>
  <si>
    <t xml:space="preserve">    DocTypeStd = Table.AddColumn(</t>
  </si>
  <si>
    <t xml:space="preserve">        CustomerName, "DocTypeStd",</t>
  </si>
  <si>
    <t xml:space="preserve">        each Record.FieldOrDefault(DocTypeMap, Text.Upper([DocType]), "Other"), type text</t>
  </si>
  <si>
    <t xml:space="preserve">    DocNoStd = Table.AddColumn(</t>
  </si>
  <si>
    <t xml:space="preserve">        DocTypeStd, "DocNoStd", each Text.Upper(Text.Remove([DocNo], {" "})), type text</t>
  </si>
  <si>
    <t xml:space="preserve">    // ---- 7. dates, amounts, currency -------------------------------------------------------</t>
  </si>
  <si>
    <t xml:space="preserve">    DocDateP = Table.AddColumn(DocNoStd, "DocDateP", each fnParseDate([DocDate]), type nullable date),</t>
  </si>
  <si>
    <t xml:space="preserve">    DueDateP = Table.AddColumn(DocDateP, "DueDateP", each fnParseDate([DueDate]), type nullable date),</t>
  </si>
  <si>
    <t xml:space="preserve">    AmountP = Table.AddColumn(DueDateP, "AmountP", each fnParseAmount([Amount]), type nullable number),</t>
  </si>
  <si>
    <t xml:space="preserve">    Currency = Table.AddColumn(</t>
  </si>
  <si>
    <t xml:space="preserve">        AmountP, "Currency",</t>
  </si>
  <si>
    <t xml:space="preserve">        each</t>
  </si>
  <si>
    <t xml:space="preserve">            let c = if [Curr] = null then null else Text.Upper([Curr])</t>
  </si>
  <si>
    <t xml:space="preserve">            in  if c = null then "INR"</t>
  </si>
  <si>
    <t xml:space="preserve">                else if List.Contains({"INR", "RS", "RS.", "₹"}, c) then "INR"</t>
  </si>
  <si>
    <t xml:space="preserve">                else if List.Contains({"USD", "US$", "$"}, c) then "USD"</t>
  </si>
  <si>
    <t xml:space="preserve">                else if List.Contains({"EUR", "€"}, c) then "EUR"</t>
  </si>
  <si>
    <t xml:space="preserve">                else c,</t>
  </si>
  <si>
    <t xml:space="preserve">        type text</t>
  </si>
  <si>
    <t xml:space="preserve">    // ---- 8. credits and receipts must be negative, whatever the print showed ---------------</t>
  </si>
  <si>
    <t xml:space="preserve">    AmountSigned = Table.AddColumn(</t>
  </si>
  <si>
    <t xml:space="preserve">        Currency, "AmountSigned",</t>
  </si>
  <si>
    <t xml:space="preserve">        each if [DocTypeStd] = "Credit Note" or [DocTypeStd] = "On-Account Receipt"</t>
  </si>
  <si>
    <t xml:space="preserve">             then -Number.Abs([AmountP]) else [AmountP],</t>
  </si>
  <si>
    <t xml:space="preserve">        type nullable number</t>
  </si>
  <si>
    <t xml:space="preserve">    // ---- 9. terms: parse text, fall back to customer master default ------------------------</t>
  </si>
  <si>
    <t xml:space="preserve">    TermsDays = Table.AddColumn(</t>
  </si>
  <si>
    <t xml:space="preserve">        AmountSigned, "TermsDays",</t>
  </si>
  <si>
    <t xml:space="preserve">            if List.Contains(NoDueDateTypes, [DocTypeStd]) then 0</t>
  </si>
  <si>
    <t xml:space="preserve">            else</t>
  </si>
  <si>
    <t xml:space="preserve">                let t = fnTermsDays([Terms])</t>
  </si>
  <si>
    <t xml:space="preserve">                in  if t &lt;&gt; null then t</t>
  </si>
  <si>
    <t xml:space="preserve">                    else if [DefaultTermsDays] &lt;&gt; null then [DefaultTermsDays]</t>
  </si>
  <si>
    <t xml:space="preserve">                    else 30,</t>
  </si>
  <si>
    <t xml:space="preserve">        type number</t>
  </si>
  <si>
    <t xml:space="preserve">    // ---- 10. due date: keep it if sane, otherwise doc date + terms --------------------------</t>
  </si>
  <si>
    <t xml:space="preserve">    DueDateStd = Table.AddColumn(</t>
  </si>
  <si>
    <t xml:space="preserve">        TermsDays, "DueDateStd",</t>
  </si>
  <si>
    <t xml:space="preserve">            if [DocDateP] = null then null</t>
  </si>
  <si>
    <t xml:space="preserve">            else if [DueDateP] &lt;&gt; null and [DueDateP] &gt;= [DocDateP] then [DueDateP]</t>
  </si>
  <si>
    <t xml:space="preserve">            else Date.AddDays([DocDateP], [TermsDays]),</t>
  </si>
  <si>
    <t xml:space="preserve">        type nullable date</t>
  </si>
  <si>
    <t xml:space="preserve">    // ---- 11. sales rep through the alias table ---------------------------------------------</t>
  </si>
  <si>
    <t xml:space="preserve">    RepKey = Table.AddColumn(</t>
  </si>
  <si>
    <t xml:space="preserve">        DueDateStd, "RepKey",</t>
  </si>
  <si>
    <t xml:space="preserve">        each if [SalesRep] = null then null else Text.Lower(Text.Select([SalesRep], {"a".."z", "A".."Z"})),</t>
  </si>
  <si>
    <t xml:space="preserve">        type nullable text</t>
  </si>
  <si>
    <t xml:space="preserve">    JoinRep = Table.NestedJoin(RepKey, {"RepKey"}, dimRepAlias, {"Alias"}, "Rep", JoinKind.LeftOuter),</t>
  </si>
  <si>
    <t xml:space="preserve">    ExpandRep = Table.ExpandTableColumn(JoinRep, "Rep", {"SalesRep"}, {"SalesRepStd"}),</t>
  </si>
  <si>
    <t xml:space="preserve">    SalesRepFinal = Table.AddColumn(</t>
  </si>
  <si>
    <t xml:space="preserve">        ExpandRep, "SalesRepFinal",</t>
  </si>
  <si>
    <t xml:space="preserve">        each if [SalesRepStd] &lt;&gt; null then [SalesRepStd] else "Unassigned", type text</t>
  </si>
  <si>
    <t xml:space="preserve">    // ---- 12. PO reference placeholders and dispute flag ------------------------------------</t>
  </si>
  <si>
    <t xml:space="preserve">    PORefClean = Table.AddColumn(</t>
  </si>
  <si>
    <t xml:space="preserve">        SalesRepFinal, "PORefClean",</t>
  </si>
  <si>
    <t xml:space="preserve">        each if [PORef] = null or List.Contains(PlaceholderPO, Text.Upper([PORef])) then null else [PORef],</t>
  </si>
  <si>
    <t xml:space="preserve">    IsDisputed = Table.AddColumn(</t>
  </si>
  <si>
    <t xml:space="preserve">        PORefClean, "IsDisputed",</t>
  </si>
  <si>
    <t xml:space="preserve">        each [Remarks] &lt;&gt; null and Text.Contains(Text.Lower([Remarks]), "disp"), type logical</t>
  </si>
  <si>
    <t xml:space="preserve">    // ---- 13. data-quality flag: what did we have to fix on this row? -----------------------</t>
  </si>
  <si>
    <t xml:space="preserve">    DataFlag = Table.AddColumn(</t>
  </si>
  <si>
    <t xml:space="preserve">        IsDisputed, "DataFlag",</t>
  </si>
  <si>
    <t xml:space="preserve">            let</t>
  </si>
  <si>
    <t xml:space="preserve">                billing = List.Contains(BillingTypes, [DocTypeStd]),</t>
  </si>
  <si>
    <t xml:space="preserve">                items = {</t>
  </si>
  <si>
    <t xml:space="preserve">                    if billing and [DueDateP] = null then "due date missing - derived from terms"</t>
  </si>
  <si>
    <t xml:space="preserve">                    else if [DueDateP] &lt;&gt; null and [DocDateP] &lt;&gt; null and [DueDateP] &lt; [DocDateP]</t>
  </si>
  <si>
    <t xml:space="preserve">                         then "due date before doc date - rebuilt" else null,</t>
  </si>
  <si>
    <t xml:space="preserve">                    if [Curr] = null then "currency blank - assumed INR" else null,</t>
  </si>
  <si>
    <t xml:space="preserve">                    if [MasterName] = null then "customer not in master" else null,</t>
  </si>
  <si>
    <t xml:space="preserve">                    if [Terms] = null and billing then "terms blank - master default" else null,</t>
  </si>
  <si>
    <t xml:space="preserve">                    if [AmountP] &lt;&gt; null and [AmountP] &lt;&gt; [AmountSigned] then "sign corrected" else null</t>
  </si>
  <si>
    <t xml:space="preserve">                },</t>
  </si>
  <si>
    <t xml:space="preserve">                joined = Text.Combine(List.RemoveNulls(items), "; ")</t>
  </si>
  <si>
    <t xml:space="preserve">            in</t>
  </si>
  <si>
    <t xml:space="preserve">                if joined = "" then null else joined,</t>
  </si>
  <si>
    <t xml:space="preserve">    // ---- 14. keep the final columns, give them their final names ---------------------------</t>
  </si>
  <si>
    <t xml:space="preserve">    Selected = Table.SelectColumns(</t>
  </si>
  <si>
    <t xml:space="preserve">        DataFlag,</t>
  </si>
  <si>
    <t xml:space="preserve">        {"CustCode", "CustomerName", "Region", "Segment", "DocNoStd", "DocTypeStd", "DocDateP",</t>
  </si>
  <si>
    <t xml:space="preserve">         "DueDateStd", "TermsDays", "Currency", "AmountSigned", "SalesRepFinal", "PORefClean",</t>
  </si>
  <si>
    <t xml:space="preserve">         "Remarks", "IsDisputed", "DataFlag"}</t>
  </si>
  <si>
    <t xml:space="preserve">    Renamed = Table.RenameColumns(</t>
  </si>
  <si>
    <t xml:space="preserve">        Selected,</t>
  </si>
  <si>
    <t xml:space="preserve">        {{"DocNoStd", "DocNo"}, {"DocTypeStd", "DocType"}, {"DocDateP", "DocDate"},</t>
  </si>
  <si>
    <t xml:space="preserve">         {"DueDateStd", "DueDate"}, {"AmountSigned", "Amount"}, {"SalesRepFinal", "SalesRep"},</t>
  </si>
  <si>
    <t xml:space="preserve">         {"PORefClean", "PORef"}}</t>
  </si>
  <si>
    <t xml:space="preserve">    // ---- 15. the page-break lines repeat the last line of the previous page ----------------</t>
  </si>
  <si>
    <t xml:space="preserve">    Deduped = Table.Distinct(Renamed, {"CustCode", "DocNo", "DocType", "Amount"}),</t>
  </si>
  <si>
    <t xml:space="preserve">    // ---- 16. ageing against the report date -------------------------------------------------</t>
  </si>
  <si>
    <t xml:space="preserve">    DaysPastDue = Table.AddColumn(</t>
  </si>
  <si>
    <t xml:space="preserve">        Deduped, "DaysPastDue", each Duration.Days(pAsOfDate - [DueDate]), Int64.Type</t>
  </si>
  <si>
    <t xml:space="preserve">    AgingBucket = Table.AddColumn(</t>
  </si>
  <si>
    <t xml:space="preserve">        DaysPastDue, "AgingBucket",</t>
  </si>
  <si>
    <t xml:space="preserve">            let d = [DaysPastDue]</t>
  </si>
  <si>
    <t xml:space="preserve">            in  if d &lt;= 0 then "Not due"</t>
  </si>
  <si>
    <t xml:space="preserve">                else if d &lt;= 30 then "1-30"</t>
  </si>
  <si>
    <t xml:space="preserve">                else if d &lt;= 60 then "31-60"</t>
  </si>
  <si>
    <t xml:space="preserve">                else if d &lt;= 90 then "61-90"</t>
  </si>
  <si>
    <t xml:space="preserve">                else if d &lt;= 180 then "91-180"</t>
  </si>
  <si>
    <t xml:space="preserve">                else "180+",</t>
  </si>
  <si>
    <t xml:space="preserve">    // ---- 17. final types, column order and sort --------------------------------------------</t>
  </si>
  <si>
    <t xml:space="preserve">    Ordered = Table.ReorderColumns(</t>
  </si>
  <si>
    <t xml:space="preserve">        AgingBucket,</t>
  </si>
  <si>
    <t xml:space="preserve">        {"CustCode", "CustomerName", "Region", "Segment", "DocNo", "DocType", "DocDate", "DueDate",</t>
  </si>
  <si>
    <t xml:space="preserve">         "TermsDays", "Currency", "Amount", "SalesRep", "PORef", "Remarks", "IsDisputed",</t>
  </si>
  <si>
    <t xml:space="preserve">         "DaysPastDue", "AgingBucket", "DataFlag"}</t>
  </si>
  <si>
    <t xml:space="preserve">    Typed = Table.TransformColumnTypes(</t>
  </si>
  <si>
    <t xml:space="preserve">        Ordered,</t>
  </si>
  <si>
    <t xml:space="preserve">        {{"DocDate", type date}, {"DueDate", type date}, {"TermsDays", Int64.Type},</t>
  </si>
  <si>
    <t xml:space="preserve">         {"Amount", Currency.Type}}</t>
  </si>
  <si>
    <t xml:space="preserve">    Sorted = Table.Sort(Typed, {{"CustCode", Order.Ascending}, {"DocDate", Order.Ascending}, {"DocNo", Order.Ascending}})</t>
  </si>
  <si>
    <t xml:space="preserve">in</t>
  </si>
  <si>
    <t xml:space="preserve">    Sorted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</si>
</sst>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#,##0.00;[RED]\(#,##0.00\)"/>
    <numFmt numFmtId="167" formatCode="General"/>
    <numFmt numFmtId="168" formatCode="#,##0.00;[RED]\(#,##0.00\);\-"/>
    <numFmt numFmtId="169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Consola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AR_Clean" displayName="tblAR_Clean" ref="A1:R498" headerRowCount="1" totalsRowCount="0" totalsRowShown="0">
  <autoFilter ref="A1:R498"/>
  <tableColumns count="18">
    <tableColumn id="1" name="CustCode"/>
    <tableColumn id="2" name="CustomerName"/>
    <tableColumn id="3" name="Region"/>
    <tableColumn id="4" name="Segment"/>
    <tableColumn id="5" name="DocNo"/>
    <tableColumn id="6" name="DocType"/>
    <tableColumn id="7" name="DocDate"/>
    <tableColumn id="8" name="DueDate"/>
    <tableColumn id="9" name="TermsDays"/>
    <tableColumn id="10" name="Currency"/>
    <tableColumn id="11" name="Amount"/>
    <tableColumn id="12" name="SalesRep"/>
    <tableColumn id="13" name="PORef"/>
    <tableColumn id="14" name="Remarks"/>
    <tableColumn id="15" name="IsDisputed"/>
    <tableColumn id="16" name="DaysPastDue"/>
    <tableColumn id="17" name="AgingBucket"/>
    <tableColumn id="18" name="DataFla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6"/>
    <col collapsed="false" customWidth="true" hidden="false" outlineLevel="0" max="8" min="8" style="0" width="7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8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2" t="s">
        <v>17</v>
      </c>
    </row>
    <row r="2" customFormat="false" ht="15" hidden="false" customHeight="false" outlineLevel="0" collapsed="false">
      <c r="A2" s="2" t="s">
        <v>18</v>
      </c>
    </row>
    <row r="3" customFormat="false" ht="15" hidden="false" customHeight="false" outlineLevel="0" collapsed="false">
      <c r="A3" s="2" t="s">
        <v>19</v>
      </c>
      <c r="J3" s="2" t="s">
        <v>20</v>
      </c>
    </row>
    <row r="4" customFormat="false" ht="15" hidden="false" customHeight="false" outlineLevel="0" collapsed="false">
      <c r="A4" s="2" t="s">
        <v>21</v>
      </c>
    </row>
    <row r="6" customFormat="false" ht="15" hidden="false" customHeight="false" outlineLevel="0" collapsed="false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30</v>
      </c>
      <c r="J6" s="2" t="s">
        <v>31</v>
      </c>
      <c r="K6" s="2" t="s">
        <v>32</v>
      </c>
      <c r="L6" s="2" t="s">
        <v>33</v>
      </c>
    </row>
    <row r="7" customFormat="false" ht="15" hidden="false" customHeight="false" outlineLevel="0" collapsed="false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41</v>
      </c>
      <c r="I7" s="2" t="s">
        <v>42</v>
      </c>
      <c r="J7" s="2" t="s">
        <v>43</v>
      </c>
      <c r="K7" s="2" t="s">
        <v>44</v>
      </c>
    </row>
    <row r="8" customFormat="false" ht="15" hidden="false" customHeight="false" outlineLevel="0" collapsed="false">
      <c r="C8" s="2" t="s">
        <v>45</v>
      </c>
      <c r="D8" s="2" t="s">
        <v>46</v>
      </c>
      <c r="E8" s="2" t="s">
        <v>47</v>
      </c>
      <c r="G8" s="2" t="s">
        <v>48</v>
      </c>
      <c r="H8" s="2" t="s">
        <v>41</v>
      </c>
      <c r="J8" s="2" t="s">
        <v>49</v>
      </c>
    </row>
    <row r="9" customFormat="false" ht="15" hidden="false" customHeight="false" outlineLevel="0" collapsed="false">
      <c r="C9" s="2" t="s">
        <v>50</v>
      </c>
      <c r="D9" s="2" t="s">
        <v>37</v>
      </c>
      <c r="E9" s="2" t="s">
        <v>51</v>
      </c>
      <c r="F9" s="2" t="s">
        <v>52</v>
      </c>
      <c r="G9" s="2" t="s">
        <v>53</v>
      </c>
      <c r="H9" s="2" t="s">
        <v>54</v>
      </c>
      <c r="J9" s="2" t="s">
        <v>55</v>
      </c>
      <c r="K9" s="2" t="s">
        <v>56</v>
      </c>
      <c r="L9" s="2" t="s">
        <v>57</v>
      </c>
    </row>
    <row r="10" customFormat="false" ht="15" hidden="false" customHeight="false" outlineLevel="0" collapsed="false">
      <c r="C10" s="2" t="s">
        <v>58</v>
      </c>
      <c r="D10" s="2" t="s">
        <v>37</v>
      </c>
      <c r="E10" s="2" t="s">
        <v>59</v>
      </c>
      <c r="G10" s="2" t="s">
        <v>60</v>
      </c>
      <c r="H10" s="2" t="s">
        <v>61</v>
      </c>
      <c r="I10" s="2" t="s">
        <v>42</v>
      </c>
      <c r="J10" s="2" t="s">
        <v>43</v>
      </c>
      <c r="K10" s="2" t="s">
        <v>62</v>
      </c>
    </row>
    <row r="11" customFormat="false" ht="15" hidden="false" customHeight="false" outlineLevel="0" collapsed="false">
      <c r="C11" s="2" t="s">
        <v>63</v>
      </c>
      <c r="D11" s="2" t="s">
        <v>37</v>
      </c>
      <c r="E11" s="2" t="s">
        <v>64</v>
      </c>
      <c r="F11" s="2" t="s">
        <v>65</v>
      </c>
      <c r="G11" s="2" t="s">
        <v>66</v>
      </c>
      <c r="H11" s="2" t="s">
        <v>41</v>
      </c>
      <c r="I11" s="2" t="s">
        <v>67</v>
      </c>
      <c r="J11" s="2" t="s">
        <v>68</v>
      </c>
      <c r="K11" s="2" t="s">
        <v>69</v>
      </c>
    </row>
    <row r="12" customFormat="false" ht="15" hidden="false" customHeight="false" outlineLevel="0" collapsed="false">
      <c r="C12" s="2" t="s">
        <v>70</v>
      </c>
      <c r="D12" s="2" t="s">
        <v>37</v>
      </c>
      <c r="E12" s="2" t="s">
        <v>71</v>
      </c>
      <c r="F12" s="2" t="s">
        <v>72</v>
      </c>
      <c r="G12" s="2" t="s">
        <v>73</v>
      </c>
      <c r="H12" s="2" t="s">
        <v>41</v>
      </c>
      <c r="I12" s="2" t="s">
        <v>74</v>
      </c>
      <c r="J12" s="2" t="s">
        <v>55</v>
      </c>
      <c r="K12" s="2" t="s">
        <v>75</v>
      </c>
    </row>
    <row r="13" customFormat="false" ht="15" hidden="false" customHeight="false" outlineLevel="0" collapsed="false">
      <c r="C13" s="2" t="s">
        <v>76</v>
      </c>
      <c r="D13" s="2" t="s">
        <v>37</v>
      </c>
      <c r="E13" s="2" t="s">
        <v>77</v>
      </c>
      <c r="F13" s="2" t="s">
        <v>78</v>
      </c>
      <c r="G13" s="2" t="s">
        <v>79</v>
      </c>
      <c r="H13" s="2" t="s">
        <v>41</v>
      </c>
      <c r="I13" s="2" t="s">
        <v>42</v>
      </c>
    </row>
    <row r="14" customFormat="false" ht="15" hidden="false" customHeight="false" outlineLevel="0" collapsed="false">
      <c r="C14" s="2" t="s">
        <v>80</v>
      </c>
      <c r="D14" s="2" t="s">
        <v>81</v>
      </c>
      <c r="E14" s="2" t="s">
        <v>82</v>
      </c>
      <c r="F14" s="2" t="s">
        <v>83</v>
      </c>
      <c r="G14" s="2" t="s">
        <v>84</v>
      </c>
      <c r="H14" s="2" t="s">
        <v>54</v>
      </c>
      <c r="I14" s="2" t="s">
        <v>42</v>
      </c>
      <c r="J14" s="2" t="s">
        <v>55</v>
      </c>
      <c r="K14" s="2" t="s">
        <v>85</v>
      </c>
    </row>
    <row r="15" customFormat="false" ht="15" hidden="false" customHeight="false" outlineLevel="0" collapsed="false">
      <c r="C15" s="2" t="s">
        <v>86</v>
      </c>
      <c r="D15" s="2" t="s">
        <v>37</v>
      </c>
      <c r="E15" s="2" t="s">
        <v>87</v>
      </c>
      <c r="F15" s="2" t="s">
        <v>88</v>
      </c>
      <c r="G15" s="2" t="s">
        <v>89</v>
      </c>
      <c r="I15" s="2" t="s">
        <v>42</v>
      </c>
      <c r="J15" s="2" t="s">
        <v>90</v>
      </c>
      <c r="K15" s="2" t="s">
        <v>91</v>
      </c>
    </row>
    <row r="16" customFormat="false" ht="15" hidden="false" customHeight="false" outlineLevel="0" collapsed="false">
      <c r="C16" s="2" t="s">
        <v>92</v>
      </c>
      <c r="D16" s="2" t="s">
        <v>37</v>
      </c>
      <c r="E16" s="2" t="s">
        <v>93</v>
      </c>
      <c r="F16" s="2" t="s">
        <v>94</v>
      </c>
      <c r="G16" s="2" t="s">
        <v>95</v>
      </c>
      <c r="H16" s="2" t="s">
        <v>41</v>
      </c>
      <c r="I16" s="2" t="s">
        <v>96</v>
      </c>
      <c r="J16" s="2" t="s">
        <v>90</v>
      </c>
      <c r="K16" s="2" t="s">
        <v>97</v>
      </c>
    </row>
    <row r="17" customFormat="false" ht="15" hidden="false" customHeight="false" outlineLevel="0" collapsed="false">
      <c r="C17" s="2" t="s">
        <v>98</v>
      </c>
      <c r="D17" s="2" t="s">
        <v>37</v>
      </c>
      <c r="E17" s="2" t="s">
        <v>99</v>
      </c>
      <c r="F17" s="2" t="s">
        <v>100</v>
      </c>
      <c r="G17" s="2" t="s">
        <v>101</v>
      </c>
      <c r="H17" s="2" t="s">
        <v>41</v>
      </c>
      <c r="I17" s="2" t="s">
        <v>102</v>
      </c>
      <c r="J17" s="2" t="s">
        <v>43</v>
      </c>
      <c r="K17" s="2" t="s">
        <v>103</v>
      </c>
    </row>
    <row r="18" customFormat="false" ht="15" hidden="false" customHeight="false" outlineLevel="0" collapsed="false">
      <c r="C18" s="2" t="s">
        <v>104</v>
      </c>
      <c r="D18" s="2" t="s">
        <v>37</v>
      </c>
      <c r="E18" s="2" t="s">
        <v>105</v>
      </c>
      <c r="F18" s="2" t="s">
        <v>106</v>
      </c>
      <c r="G18" s="2" t="s">
        <v>107</v>
      </c>
      <c r="H18" s="2" t="s">
        <v>41</v>
      </c>
      <c r="I18" s="2" t="s">
        <v>67</v>
      </c>
      <c r="J18" s="2" t="s">
        <v>68</v>
      </c>
    </row>
    <row r="19" customFormat="false" ht="15" hidden="false" customHeight="false" outlineLevel="0" collapsed="false">
      <c r="C19" s="2" t="s">
        <v>108</v>
      </c>
      <c r="D19" s="2" t="s">
        <v>37</v>
      </c>
      <c r="E19" s="2" t="s">
        <v>109</v>
      </c>
      <c r="F19" s="2" t="s">
        <v>110</v>
      </c>
      <c r="G19" s="2" t="s">
        <v>111</v>
      </c>
      <c r="H19" s="2" t="s">
        <v>41</v>
      </c>
      <c r="I19" s="2" t="s">
        <v>67</v>
      </c>
      <c r="J19" s="2" t="s">
        <v>49</v>
      </c>
      <c r="K19" s="2" t="s">
        <v>112</v>
      </c>
    </row>
    <row r="20" customFormat="false" ht="15" hidden="false" customHeight="false" outlineLevel="0" collapsed="false">
      <c r="C20" s="2" t="s">
        <v>113</v>
      </c>
      <c r="D20" s="2" t="s">
        <v>37</v>
      </c>
      <c r="E20" s="2" t="s">
        <v>114</v>
      </c>
      <c r="F20" s="2" t="s">
        <v>115</v>
      </c>
      <c r="G20" s="2" t="s">
        <v>116</v>
      </c>
      <c r="H20" s="2" t="s">
        <v>41</v>
      </c>
      <c r="I20" s="2" t="s">
        <v>42</v>
      </c>
      <c r="J20" s="2" t="s">
        <v>55</v>
      </c>
      <c r="K20" s="2" t="s">
        <v>117</v>
      </c>
    </row>
    <row r="21" customFormat="false" ht="15" hidden="false" customHeight="false" outlineLevel="0" collapsed="false">
      <c r="C21" s="2" t="s">
        <v>118</v>
      </c>
      <c r="D21" s="2" t="s">
        <v>37</v>
      </c>
      <c r="E21" s="2" t="s">
        <v>119</v>
      </c>
      <c r="F21" s="2" t="s">
        <v>120</v>
      </c>
      <c r="G21" s="2" t="s">
        <v>121</v>
      </c>
      <c r="H21" s="2" t="s">
        <v>41</v>
      </c>
      <c r="I21" s="2" t="s">
        <v>122</v>
      </c>
      <c r="J21" s="2" t="s">
        <v>43</v>
      </c>
      <c r="K21" s="2" t="s">
        <v>123</v>
      </c>
    </row>
    <row r="22" customFormat="false" ht="15" hidden="false" customHeight="false" outlineLevel="0" collapsed="false">
      <c r="C22" s="2" t="s">
        <v>124</v>
      </c>
      <c r="G22" s="2" t="s">
        <v>125</v>
      </c>
      <c r="H22" s="2" t="s">
        <v>41</v>
      </c>
    </row>
    <row r="23" customFormat="false" ht="15" hidden="false" customHeight="false" outlineLevel="0" collapsed="false">
      <c r="A23" s="2" t="s">
        <v>126</v>
      </c>
      <c r="B23" s="2" t="s">
        <v>127</v>
      </c>
      <c r="C23" s="2" t="s">
        <v>128</v>
      </c>
      <c r="D23" s="2" t="s">
        <v>129</v>
      </c>
      <c r="E23" s="2" t="s">
        <v>130</v>
      </c>
      <c r="G23" s="2" t="s">
        <v>131</v>
      </c>
      <c r="H23" s="2" t="s">
        <v>41</v>
      </c>
      <c r="J23" s="2" t="s">
        <v>132</v>
      </c>
    </row>
    <row r="24" customFormat="false" ht="15" hidden="false" customHeight="false" outlineLevel="0" collapsed="false">
      <c r="C24" s="2" t="s">
        <v>133</v>
      </c>
      <c r="D24" s="2" t="s">
        <v>37</v>
      </c>
      <c r="E24" s="2" t="s">
        <v>134</v>
      </c>
      <c r="F24" s="2" t="s">
        <v>135</v>
      </c>
      <c r="G24" s="2" t="s">
        <v>136</v>
      </c>
      <c r="H24" s="2" t="s">
        <v>41</v>
      </c>
      <c r="I24" s="2" t="s">
        <v>122</v>
      </c>
      <c r="J24" s="2" t="s">
        <v>137</v>
      </c>
      <c r="K24" s="2" t="s">
        <v>138</v>
      </c>
    </row>
    <row r="25" customFormat="false" ht="15" hidden="false" customHeight="false" outlineLevel="0" collapsed="false">
      <c r="C25" s="2" t="s">
        <v>124</v>
      </c>
      <c r="G25" s="2" t="s">
        <v>139</v>
      </c>
      <c r="H25" s="2" t="s">
        <v>41</v>
      </c>
    </row>
    <row r="27" customFormat="false" ht="15" hidden="false" customHeight="false" outlineLevel="0" collapsed="false">
      <c r="A27" s="2" t="s">
        <v>140</v>
      </c>
      <c r="B27" s="2" t="s">
        <v>141</v>
      </c>
      <c r="C27" s="2" t="s">
        <v>142</v>
      </c>
      <c r="D27" s="2" t="s">
        <v>37</v>
      </c>
      <c r="E27" s="2" t="s">
        <v>143</v>
      </c>
      <c r="F27" s="2" t="s">
        <v>144</v>
      </c>
      <c r="G27" s="2" t="s">
        <v>145</v>
      </c>
      <c r="H27" s="2" t="s">
        <v>41</v>
      </c>
      <c r="I27" s="2" t="s">
        <v>146</v>
      </c>
      <c r="J27" s="2" t="s">
        <v>49</v>
      </c>
      <c r="K27" s="2" t="s">
        <v>147</v>
      </c>
    </row>
    <row r="28" customFormat="false" ht="15" hidden="false" customHeight="false" outlineLevel="0" collapsed="false">
      <c r="C28" s="2" t="s">
        <v>148</v>
      </c>
      <c r="D28" s="2" t="s">
        <v>37</v>
      </c>
      <c r="E28" s="2" t="s">
        <v>149</v>
      </c>
      <c r="F28" s="2" t="s">
        <v>94</v>
      </c>
      <c r="G28" s="2" t="s">
        <v>150</v>
      </c>
      <c r="H28" s="2" t="s">
        <v>41</v>
      </c>
      <c r="I28" s="2" t="s">
        <v>146</v>
      </c>
      <c r="J28" s="2" t="s">
        <v>43</v>
      </c>
    </row>
    <row r="29" customFormat="false" ht="15" hidden="false" customHeight="false" outlineLevel="0" collapsed="false">
      <c r="C29" s="2" t="s">
        <v>151</v>
      </c>
      <c r="D29" s="2" t="s">
        <v>37</v>
      </c>
      <c r="E29" s="2" t="s">
        <v>152</v>
      </c>
      <c r="F29" s="2" t="s">
        <v>109</v>
      </c>
      <c r="G29" s="2" t="s">
        <v>153</v>
      </c>
      <c r="H29" s="2" t="s">
        <v>41</v>
      </c>
      <c r="I29" s="2" t="s">
        <v>102</v>
      </c>
      <c r="J29" s="2" t="s">
        <v>68</v>
      </c>
    </row>
    <row r="30" customFormat="false" ht="15" hidden="false" customHeight="false" outlineLevel="0" collapsed="false">
      <c r="C30" s="2" t="s">
        <v>124</v>
      </c>
      <c r="G30" s="2" t="s">
        <v>154</v>
      </c>
      <c r="H30" s="2" t="s">
        <v>41</v>
      </c>
    </row>
    <row r="32" customFormat="false" ht="15" hidden="false" customHeight="false" outlineLevel="0" collapsed="false">
      <c r="A32" s="2" t="s">
        <v>155</v>
      </c>
      <c r="B32" s="2" t="s">
        <v>156</v>
      </c>
      <c r="C32" s="2" t="s">
        <v>157</v>
      </c>
      <c r="D32" s="2" t="s">
        <v>37</v>
      </c>
      <c r="E32" s="2" t="s">
        <v>158</v>
      </c>
      <c r="F32" s="2" t="s">
        <v>159</v>
      </c>
      <c r="G32" s="2" t="s">
        <v>160</v>
      </c>
      <c r="H32" s="2" t="s">
        <v>41</v>
      </c>
      <c r="I32" s="2" t="s">
        <v>161</v>
      </c>
      <c r="J32" s="2" t="s">
        <v>162</v>
      </c>
      <c r="K32" s="2" t="s">
        <v>163</v>
      </c>
      <c r="L32" s="2" t="s">
        <v>164</v>
      </c>
    </row>
    <row r="33" customFormat="false" ht="15" hidden="false" customHeight="false" outlineLevel="0" collapsed="false">
      <c r="C33" s="2" t="s">
        <v>165</v>
      </c>
      <c r="D33" s="2" t="s">
        <v>37</v>
      </c>
      <c r="E33" s="2" t="s">
        <v>166</v>
      </c>
      <c r="F33" s="2" t="s">
        <v>51</v>
      </c>
      <c r="G33" s="2" t="s">
        <v>167</v>
      </c>
      <c r="H33" s="2" t="s">
        <v>54</v>
      </c>
      <c r="I33" s="2" t="s">
        <v>168</v>
      </c>
      <c r="J33" s="2" t="s">
        <v>68</v>
      </c>
      <c r="K33" s="2" t="s">
        <v>169</v>
      </c>
    </row>
    <row r="34" customFormat="false" ht="15" hidden="false" customHeight="false" outlineLevel="0" collapsed="false">
      <c r="C34" s="2" t="s">
        <v>170</v>
      </c>
      <c r="D34" s="2" t="s">
        <v>171</v>
      </c>
      <c r="E34" s="2" t="s">
        <v>172</v>
      </c>
      <c r="F34" s="2" t="s">
        <v>173</v>
      </c>
      <c r="G34" s="2" t="s">
        <v>174</v>
      </c>
      <c r="H34" s="2" t="s">
        <v>41</v>
      </c>
      <c r="I34" s="2" t="s">
        <v>175</v>
      </c>
      <c r="J34" s="2" t="s">
        <v>68</v>
      </c>
      <c r="K34" s="2" t="s">
        <v>176</v>
      </c>
    </row>
    <row r="35" customFormat="false" ht="15" hidden="false" customHeight="false" outlineLevel="0" collapsed="false">
      <c r="C35" s="2" t="s">
        <v>177</v>
      </c>
      <c r="D35" s="2" t="s">
        <v>37</v>
      </c>
      <c r="E35" s="2" t="s">
        <v>178</v>
      </c>
      <c r="F35" s="2" t="s">
        <v>179</v>
      </c>
      <c r="G35" s="2" t="s">
        <v>180</v>
      </c>
      <c r="H35" s="2" t="s">
        <v>41</v>
      </c>
      <c r="I35" s="2" t="s">
        <v>175</v>
      </c>
      <c r="J35" s="2" t="s">
        <v>43</v>
      </c>
    </row>
    <row r="36" customFormat="false" ht="15" hidden="false" customHeight="false" outlineLevel="0" collapsed="false">
      <c r="C36" s="2" t="s">
        <v>181</v>
      </c>
      <c r="D36" s="2" t="s">
        <v>182</v>
      </c>
      <c r="E36" s="2" t="s">
        <v>64</v>
      </c>
      <c r="F36" s="2" t="s">
        <v>183</v>
      </c>
      <c r="G36" s="2" t="s">
        <v>184</v>
      </c>
      <c r="H36" s="2" t="s">
        <v>41</v>
      </c>
      <c r="I36" s="2" t="s">
        <v>161</v>
      </c>
      <c r="J36" s="2" t="s">
        <v>43</v>
      </c>
      <c r="K36" s="2" t="s">
        <v>185</v>
      </c>
    </row>
    <row r="37" customFormat="false" ht="15" hidden="false" customHeight="false" outlineLevel="0" collapsed="false">
      <c r="C37" s="2" t="s">
        <v>186</v>
      </c>
      <c r="D37" s="2" t="s">
        <v>37</v>
      </c>
      <c r="E37" s="2" t="s">
        <v>187</v>
      </c>
      <c r="F37" s="2" t="s">
        <v>87</v>
      </c>
      <c r="G37" s="2" t="s">
        <v>188</v>
      </c>
      <c r="H37" s="2" t="s">
        <v>41</v>
      </c>
      <c r="I37" s="2" t="s">
        <v>168</v>
      </c>
      <c r="J37" s="2" t="s">
        <v>43</v>
      </c>
    </row>
    <row r="38" customFormat="false" ht="15" hidden="false" customHeight="false" outlineLevel="0" collapsed="false">
      <c r="C38" s="2" t="s">
        <v>189</v>
      </c>
      <c r="D38" s="2" t="s">
        <v>37</v>
      </c>
      <c r="E38" s="2" t="s">
        <v>190</v>
      </c>
      <c r="F38" s="2" t="s">
        <v>191</v>
      </c>
      <c r="G38" s="2" t="s">
        <v>192</v>
      </c>
      <c r="H38" s="2" t="s">
        <v>41</v>
      </c>
      <c r="I38" s="2" t="s">
        <v>168</v>
      </c>
      <c r="J38" s="2" t="s">
        <v>193</v>
      </c>
      <c r="K38" s="2" t="s">
        <v>194</v>
      </c>
    </row>
    <row r="39" customFormat="false" ht="15" hidden="false" customHeight="false" outlineLevel="0" collapsed="false">
      <c r="C39" s="2" t="s">
        <v>195</v>
      </c>
      <c r="D39" s="2" t="s">
        <v>37</v>
      </c>
      <c r="E39" s="2" t="s">
        <v>196</v>
      </c>
      <c r="F39" s="2" t="s">
        <v>197</v>
      </c>
      <c r="G39" s="2" t="s">
        <v>198</v>
      </c>
      <c r="H39" s="2" t="s">
        <v>41</v>
      </c>
      <c r="I39" s="2" t="s">
        <v>161</v>
      </c>
      <c r="J39" s="2" t="s">
        <v>49</v>
      </c>
      <c r="K39" s="2" t="s">
        <v>199</v>
      </c>
    </row>
    <row r="40" customFormat="false" ht="15" hidden="false" customHeight="false" outlineLevel="0" collapsed="false">
      <c r="C40" s="2" t="s">
        <v>200</v>
      </c>
      <c r="D40" s="2" t="s">
        <v>37</v>
      </c>
      <c r="E40" s="2" t="s">
        <v>201</v>
      </c>
      <c r="F40" s="2" t="s">
        <v>105</v>
      </c>
      <c r="G40" s="2" t="s">
        <v>202</v>
      </c>
      <c r="H40" s="2" t="s">
        <v>41</v>
      </c>
      <c r="I40" s="2" t="s">
        <v>175</v>
      </c>
      <c r="K40" s="2" t="s">
        <v>203</v>
      </c>
    </row>
    <row r="41" customFormat="false" ht="15" hidden="false" customHeight="false" outlineLevel="0" collapsed="false">
      <c r="C41" s="2" t="s">
        <v>204</v>
      </c>
      <c r="D41" s="2" t="s">
        <v>37</v>
      </c>
      <c r="E41" s="2" t="s">
        <v>205</v>
      </c>
      <c r="F41" s="2" t="s">
        <v>206</v>
      </c>
      <c r="G41" s="2" t="s">
        <v>207</v>
      </c>
      <c r="H41" s="2" t="s">
        <v>41</v>
      </c>
      <c r="I41" s="2" t="s">
        <v>161</v>
      </c>
      <c r="J41" s="2" t="s">
        <v>43</v>
      </c>
      <c r="K41" s="2" t="s">
        <v>208</v>
      </c>
    </row>
    <row r="42" customFormat="false" ht="15" hidden="false" customHeight="false" outlineLevel="0" collapsed="false">
      <c r="C42" s="2" t="s">
        <v>209</v>
      </c>
      <c r="D42" s="2" t="s">
        <v>37</v>
      </c>
      <c r="E42" s="2" t="s">
        <v>210</v>
      </c>
      <c r="F42" s="2" t="s">
        <v>211</v>
      </c>
      <c r="G42" s="2" t="s">
        <v>212</v>
      </c>
      <c r="H42" s="2" t="s">
        <v>41</v>
      </c>
      <c r="I42" s="2" t="s">
        <v>213</v>
      </c>
      <c r="J42" s="2" t="s">
        <v>68</v>
      </c>
      <c r="K42" s="2" t="s">
        <v>214</v>
      </c>
    </row>
    <row r="43" customFormat="false" ht="15" hidden="false" customHeight="false" outlineLevel="0" collapsed="false">
      <c r="C43" s="2" t="s">
        <v>215</v>
      </c>
      <c r="D43" s="2" t="s">
        <v>37</v>
      </c>
      <c r="E43" s="2" t="s">
        <v>216</v>
      </c>
      <c r="F43" s="2" t="s">
        <v>217</v>
      </c>
      <c r="G43" s="2" t="s">
        <v>218</v>
      </c>
      <c r="H43" s="2" t="s">
        <v>41</v>
      </c>
      <c r="I43" s="2" t="s">
        <v>219</v>
      </c>
      <c r="J43" s="2" t="s">
        <v>43</v>
      </c>
      <c r="K43" s="2" t="s">
        <v>220</v>
      </c>
    </row>
    <row r="44" customFormat="false" ht="15" hidden="false" customHeight="false" outlineLevel="0" collapsed="false">
      <c r="C44" s="2" t="s">
        <v>221</v>
      </c>
      <c r="D44" s="2" t="s">
        <v>222</v>
      </c>
      <c r="E44" s="2" t="s">
        <v>223</v>
      </c>
      <c r="F44" s="2" t="s">
        <v>223</v>
      </c>
      <c r="G44" s="2" t="s">
        <v>224</v>
      </c>
      <c r="H44" s="2" t="s">
        <v>41</v>
      </c>
      <c r="I44" s="2" t="s">
        <v>225</v>
      </c>
      <c r="K44" s="2" t="s">
        <v>226</v>
      </c>
    </row>
    <row r="45" customFormat="false" ht="15" hidden="false" customHeight="false" outlineLevel="0" collapsed="false">
      <c r="C45" s="2" t="s">
        <v>227</v>
      </c>
      <c r="D45" s="2" t="s">
        <v>37</v>
      </c>
      <c r="E45" s="2" t="s">
        <v>228</v>
      </c>
      <c r="F45" s="2" t="s">
        <v>229</v>
      </c>
      <c r="G45" s="2" t="s">
        <v>230</v>
      </c>
      <c r="H45" s="2" t="s">
        <v>41</v>
      </c>
      <c r="I45" s="2" t="s">
        <v>161</v>
      </c>
      <c r="J45" s="2" t="s">
        <v>55</v>
      </c>
      <c r="K45" s="2" t="s">
        <v>231</v>
      </c>
    </row>
    <row r="46" customFormat="false" ht="15" hidden="false" customHeight="false" outlineLevel="0" collapsed="false">
      <c r="C46" s="2" t="s">
        <v>232</v>
      </c>
      <c r="D46" s="2" t="s">
        <v>37</v>
      </c>
      <c r="E46" s="2" t="s">
        <v>233</v>
      </c>
      <c r="F46" s="2" t="s">
        <v>234</v>
      </c>
      <c r="G46" s="2" t="s">
        <v>235</v>
      </c>
      <c r="H46" s="2" t="s">
        <v>236</v>
      </c>
      <c r="I46" s="2" t="s">
        <v>168</v>
      </c>
      <c r="J46" s="2" t="s">
        <v>43</v>
      </c>
      <c r="K46" s="2" t="s">
        <v>237</v>
      </c>
    </row>
    <row r="47" customFormat="false" ht="15" hidden="false" customHeight="false" outlineLevel="0" collapsed="false">
      <c r="C47" s="2" t="s">
        <v>238</v>
      </c>
      <c r="D47" s="2" t="s">
        <v>37</v>
      </c>
      <c r="E47" s="2" t="s">
        <v>233</v>
      </c>
      <c r="G47" s="2" t="s">
        <v>239</v>
      </c>
      <c r="H47" s="2" t="s">
        <v>41</v>
      </c>
      <c r="I47" s="2" t="s">
        <v>175</v>
      </c>
      <c r="J47" s="2" t="s">
        <v>55</v>
      </c>
      <c r="K47" s="2" t="s">
        <v>240</v>
      </c>
    </row>
    <row r="48" customFormat="false" ht="15" hidden="false" customHeight="false" outlineLevel="0" collapsed="false">
      <c r="C48" s="2" t="s">
        <v>241</v>
      </c>
      <c r="D48" s="2" t="s">
        <v>37</v>
      </c>
      <c r="E48" s="2" t="s">
        <v>242</v>
      </c>
      <c r="F48" s="2" t="s">
        <v>243</v>
      </c>
      <c r="G48" s="2" t="s">
        <v>244</v>
      </c>
      <c r="H48" s="2" t="s">
        <v>41</v>
      </c>
      <c r="I48" s="2" t="s">
        <v>245</v>
      </c>
      <c r="J48" s="2" t="s">
        <v>68</v>
      </c>
      <c r="K48" s="2" t="s">
        <v>246</v>
      </c>
    </row>
    <row r="49" customFormat="false" ht="15" hidden="false" customHeight="false" outlineLevel="0" collapsed="false">
      <c r="C49" s="2" t="s">
        <v>247</v>
      </c>
      <c r="D49" s="2" t="s">
        <v>37</v>
      </c>
      <c r="E49" s="2" t="s">
        <v>248</v>
      </c>
      <c r="F49" s="2" t="s">
        <v>249</v>
      </c>
      <c r="G49" s="2" t="s">
        <v>250</v>
      </c>
      <c r="H49" s="2" t="s">
        <v>41</v>
      </c>
      <c r="I49" s="2" t="s">
        <v>245</v>
      </c>
      <c r="J49" s="2" t="s">
        <v>49</v>
      </c>
      <c r="K49" s="2" t="s">
        <v>251</v>
      </c>
    </row>
    <row r="50" customFormat="false" ht="15" hidden="false" customHeight="false" outlineLevel="0" collapsed="false">
      <c r="C50" s="2" t="s">
        <v>124</v>
      </c>
      <c r="G50" s="2" t="s">
        <v>252</v>
      </c>
      <c r="H50" s="2" t="s">
        <v>41</v>
      </c>
    </row>
    <row r="52" customFormat="false" ht="15" hidden="false" customHeight="false" outlineLevel="0" collapsed="false">
      <c r="A52" s="2" t="s">
        <v>253</v>
      </c>
      <c r="B52" s="2" t="s">
        <v>254</v>
      </c>
      <c r="C52" s="2" t="s">
        <v>255</v>
      </c>
      <c r="D52" s="2" t="s">
        <v>37</v>
      </c>
      <c r="E52" s="2" t="s">
        <v>256</v>
      </c>
      <c r="F52" s="2" t="s">
        <v>65</v>
      </c>
      <c r="G52" s="2" t="s">
        <v>257</v>
      </c>
      <c r="H52" s="2" t="s">
        <v>41</v>
      </c>
      <c r="I52" s="2" t="s">
        <v>175</v>
      </c>
      <c r="J52" s="2" t="s">
        <v>258</v>
      </c>
      <c r="K52" s="2" t="s">
        <v>259</v>
      </c>
      <c r="L52" s="2" t="s">
        <v>57</v>
      </c>
    </row>
    <row r="53" customFormat="false" ht="15" hidden="false" customHeight="false" outlineLevel="0" collapsed="false">
      <c r="A53" s="2" t="s">
        <v>260</v>
      </c>
    </row>
    <row r="55" customFormat="false" ht="15" hidden="false" customHeight="false" outlineLevel="0" collapsed="false">
      <c r="A55" s="2" t="s">
        <v>17</v>
      </c>
      <c r="G55" s="2" t="s">
        <v>261</v>
      </c>
    </row>
    <row r="56" customFormat="false" ht="15" hidden="false" customHeight="false" outlineLevel="0" collapsed="false">
      <c r="A56" s="2" t="s">
        <v>22</v>
      </c>
      <c r="B56" s="2" t="s">
        <v>23</v>
      </c>
      <c r="C56" s="2" t="s">
        <v>24</v>
      </c>
      <c r="D56" s="2" t="s">
        <v>25</v>
      </c>
      <c r="E56" s="2" t="s">
        <v>26</v>
      </c>
      <c r="F56" s="2" t="s">
        <v>27</v>
      </c>
      <c r="G56" s="2" t="s">
        <v>28</v>
      </c>
      <c r="H56" s="2" t="s">
        <v>29</v>
      </c>
      <c r="I56" s="2" t="s">
        <v>30</v>
      </c>
      <c r="J56" s="2" t="s">
        <v>31</v>
      </c>
      <c r="K56" s="2" t="s">
        <v>32</v>
      </c>
      <c r="L56" s="2" t="s">
        <v>33</v>
      </c>
    </row>
    <row r="57" customFormat="false" ht="15" hidden="false" customHeight="false" outlineLevel="0" collapsed="false">
      <c r="A57" s="2" t="s">
        <v>253</v>
      </c>
      <c r="B57" s="2" t="s">
        <v>254</v>
      </c>
      <c r="C57" s="2" t="s">
        <v>255</v>
      </c>
      <c r="D57" s="2" t="s">
        <v>37</v>
      </c>
      <c r="E57" s="2" t="s">
        <v>256</v>
      </c>
      <c r="F57" s="2" t="s">
        <v>65</v>
      </c>
      <c r="G57" s="2" t="s">
        <v>257</v>
      </c>
      <c r="H57" s="2" t="s">
        <v>41</v>
      </c>
      <c r="I57" s="2" t="s">
        <v>175</v>
      </c>
      <c r="J57" s="2" t="s">
        <v>258</v>
      </c>
      <c r="K57" s="2" t="s">
        <v>259</v>
      </c>
      <c r="L57" s="2" t="s">
        <v>57</v>
      </c>
    </row>
    <row r="58" customFormat="false" ht="15" hidden="false" customHeight="false" outlineLevel="0" collapsed="false">
      <c r="C58" s="2" t="s">
        <v>262</v>
      </c>
      <c r="D58" s="2" t="s">
        <v>37</v>
      </c>
      <c r="E58" s="2" t="s">
        <v>263</v>
      </c>
      <c r="F58" s="2" t="s">
        <v>264</v>
      </c>
      <c r="G58" s="2" t="s">
        <v>265</v>
      </c>
      <c r="H58" s="2" t="s">
        <v>236</v>
      </c>
      <c r="I58" s="2" t="s">
        <v>42</v>
      </c>
      <c r="K58" s="2" t="s">
        <v>266</v>
      </c>
    </row>
    <row r="59" customFormat="false" ht="15" hidden="false" customHeight="false" outlineLevel="0" collapsed="false">
      <c r="C59" s="2" t="s">
        <v>267</v>
      </c>
      <c r="D59" s="2" t="s">
        <v>37</v>
      </c>
      <c r="E59" s="2" t="s">
        <v>268</v>
      </c>
      <c r="F59" s="2" t="s">
        <v>269</v>
      </c>
      <c r="G59" s="2" t="s">
        <v>270</v>
      </c>
      <c r="H59" s="2" t="s">
        <v>41</v>
      </c>
      <c r="I59" s="2" t="s">
        <v>102</v>
      </c>
      <c r="J59" s="2" t="s">
        <v>162</v>
      </c>
      <c r="K59" s="2" t="s">
        <v>271</v>
      </c>
      <c r="L59" s="2" t="s">
        <v>272</v>
      </c>
    </row>
    <row r="60" customFormat="false" ht="15" hidden="false" customHeight="false" outlineLevel="0" collapsed="false">
      <c r="C60" s="2" t="s">
        <v>273</v>
      </c>
      <c r="D60" s="2" t="s">
        <v>274</v>
      </c>
      <c r="E60" s="2" t="s">
        <v>275</v>
      </c>
      <c r="F60" s="2" t="s">
        <v>276</v>
      </c>
      <c r="G60" s="2" t="s">
        <v>277</v>
      </c>
      <c r="H60" s="2" t="s">
        <v>41</v>
      </c>
      <c r="I60" s="2" t="s">
        <v>122</v>
      </c>
      <c r="J60" s="2" t="s">
        <v>278</v>
      </c>
      <c r="K60" s="2" t="s">
        <v>279</v>
      </c>
      <c r="L60" s="2" t="s">
        <v>272</v>
      </c>
    </row>
    <row r="61" customFormat="false" ht="15" hidden="false" customHeight="false" outlineLevel="0" collapsed="false">
      <c r="C61" s="2" t="s">
        <v>280</v>
      </c>
      <c r="D61" s="2" t="s">
        <v>281</v>
      </c>
      <c r="E61" s="2" t="s">
        <v>152</v>
      </c>
      <c r="F61" s="2" t="s">
        <v>110</v>
      </c>
      <c r="G61" s="2" t="s">
        <v>282</v>
      </c>
      <c r="H61" s="2" t="s">
        <v>41</v>
      </c>
      <c r="I61" s="2" t="s">
        <v>161</v>
      </c>
      <c r="J61" s="2" t="s">
        <v>278</v>
      </c>
      <c r="K61" s="2" t="s">
        <v>283</v>
      </c>
    </row>
    <row r="62" customFormat="false" ht="15" hidden="false" customHeight="false" outlineLevel="0" collapsed="false">
      <c r="C62" s="2" t="s">
        <v>284</v>
      </c>
      <c r="D62" s="2" t="s">
        <v>37</v>
      </c>
      <c r="E62" s="2" t="s">
        <v>109</v>
      </c>
      <c r="F62" s="2" t="s">
        <v>285</v>
      </c>
      <c r="G62" s="2" t="s">
        <v>286</v>
      </c>
      <c r="I62" s="2" t="s">
        <v>168</v>
      </c>
      <c r="J62" s="2" t="s">
        <v>162</v>
      </c>
      <c r="K62" s="2" t="s">
        <v>287</v>
      </c>
    </row>
    <row r="63" customFormat="false" ht="15" hidden="false" customHeight="false" outlineLevel="0" collapsed="false">
      <c r="C63" s="2" t="s">
        <v>288</v>
      </c>
      <c r="D63" s="2" t="s">
        <v>37</v>
      </c>
      <c r="E63" s="2" t="s">
        <v>152</v>
      </c>
      <c r="F63" s="2" t="s">
        <v>110</v>
      </c>
      <c r="G63" s="2" t="s">
        <v>289</v>
      </c>
      <c r="H63" s="2" t="s">
        <v>41</v>
      </c>
      <c r="I63" s="2" t="s">
        <v>161</v>
      </c>
      <c r="J63" s="2" t="s">
        <v>290</v>
      </c>
      <c r="K63" s="2" t="s">
        <v>291</v>
      </c>
    </row>
    <row r="64" customFormat="false" ht="15" hidden="false" customHeight="false" outlineLevel="0" collapsed="false">
      <c r="C64" s="2" t="s">
        <v>292</v>
      </c>
      <c r="D64" s="2" t="s">
        <v>37</v>
      </c>
      <c r="E64" s="2" t="s">
        <v>293</v>
      </c>
      <c r="F64" s="2" t="s">
        <v>294</v>
      </c>
      <c r="G64" s="2" t="s">
        <v>295</v>
      </c>
      <c r="H64" s="2" t="s">
        <v>41</v>
      </c>
      <c r="I64" s="2" t="s">
        <v>161</v>
      </c>
      <c r="J64" s="2" t="s">
        <v>162</v>
      </c>
      <c r="K64" s="2" t="s">
        <v>296</v>
      </c>
    </row>
    <row r="65" customFormat="false" ht="15" hidden="false" customHeight="false" outlineLevel="0" collapsed="false">
      <c r="C65" s="2" t="s">
        <v>297</v>
      </c>
      <c r="D65" s="2" t="s">
        <v>37</v>
      </c>
      <c r="E65" s="2" t="s">
        <v>298</v>
      </c>
      <c r="F65" s="2" t="s">
        <v>299</v>
      </c>
      <c r="G65" s="2" t="s">
        <v>300</v>
      </c>
      <c r="H65" s="2" t="s">
        <v>41</v>
      </c>
      <c r="I65" s="2" t="s">
        <v>67</v>
      </c>
      <c r="J65" s="2" t="s">
        <v>301</v>
      </c>
      <c r="K65" s="2" t="s">
        <v>302</v>
      </c>
    </row>
    <row r="66" customFormat="false" ht="15" hidden="false" customHeight="false" outlineLevel="0" collapsed="false">
      <c r="C66" s="2" t="s">
        <v>303</v>
      </c>
      <c r="D66" s="2" t="s">
        <v>37</v>
      </c>
      <c r="E66" s="2" t="s">
        <v>304</v>
      </c>
      <c r="F66" s="2" t="s">
        <v>305</v>
      </c>
      <c r="G66" s="2" t="s">
        <v>306</v>
      </c>
      <c r="H66" s="2" t="s">
        <v>41</v>
      </c>
      <c r="I66" s="2" t="s">
        <v>168</v>
      </c>
      <c r="J66" s="2" t="s">
        <v>301</v>
      </c>
      <c r="K66" s="2" t="s">
        <v>307</v>
      </c>
    </row>
    <row r="67" customFormat="false" ht="15" hidden="false" customHeight="false" outlineLevel="0" collapsed="false">
      <c r="C67" s="2" t="s">
        <v>124</v>
      </c>
      <c r="G67" s="2" t="s">
        <v>308</v>
      </c>
      <c r="H67" s="2" t="s">
        <v>41</v>
      </c>
    </row>
    <row r="69" customFormat="false" ht="15" hidden="false" customHeight="false" outlineLevel="0" collapsed="false">
      <c r="A69" s="2" t="s">
        <v>309</v>
      </c>
      <c r="B69" s="2" t="s">
        <v>310</v>
      </c>
      <c r="C69" s="2" t="s">
        <v>311</v>
      </c>
      <c r="D69" s="2" t="s">
        <v>37</v>
      </c>
      <c r="E69" s="2" t="s">
        <v>312</v>
      </c>
      <c r="F69" s="2" t="s">
        <v>313</v>
      </c>
      <c r="G69" s="2" t="s">
        <v>314</v>
      </c>
      <c r="H69" s="2" t="s">
        <v>54</v>
      </c>
      <c r="I69" s="2" t="s">
        <v>67</v>
      </c>
      <c r="J69" s="2" t="s">
        <v>137</v>
      </c>
      <c r="K69" s="2" t="s">
        <v>315</v>
      </c>
    </row>
    <row r="70" customFormat="false" ht="15" hidden="false" customHeight="false" outlineLevel="0" collapsed="false">
      <c r="C70" s="2" t="s">
        <v>316</v>
      </c>
      <c r="D70" s="2" t="s">
        <v>37</v>
      </c>
      <c r="E70" s="2" t="s">
        <v>317</v>
      </c>
      <c r="F70" s="2" t="s">
        <v>318</v>
      </c>
      <c r="G70" s="2" t="s">
        <v>319</v>
      </c>
      <c r="H70" s="2" t="s">
        <v>41</v>
      </c>
      <c r="I70" s="2" t="s">
        <v>320</v>
      </c>
      <c r="J70" s="2" t="s">
        <v>321</v>
      </c>
      <c r="K70" s="2" t="s">
        <v>322</v>
      </c>
    </row>
    <row r="71" customFormat="false" ht="15" hidden="false" customHeight="false" outlineLevel="0" collapsed="false">
      <c r="C71" s="2" t="s">
        <v>323</v>
      </c>
      <c r="D71" s="2" t="s">
        <v>37</v>
      </c>
      <c r="E71" s="2" t="s">
        <v>324</v>
      </c>
      <c r="F71" s="2" t="s">
        <v>325</v>
      </c>
      <c r="G71" s="2" t="s">
        <v>326</v>
      </c>
      <c r="H71" s="2" t="s">
        <v>41</v>
      </c>
      <c r="I71" s="2" t="s">
        <v>42</v>
      </c>
      <c r="J71" s="2" t="s">
        <v>137</v>
      </c>
      <c r="K71" s="2" t="s">
        <v>327</v>
      </c>
    </row>
    <row r="72" customFormat="false" ht="15" hidden="false" customHeight="false" outlineLevel="0" collapsed="false">
      <c r="C72" s="2" t="s">
        <v>328</v>
      </c>
      <c r="D72" s="2" t="s">
        <v>329</v>
      </c>
      <c r="E72" s="2" t="s">
        <v>330</v>
      </c>
      <c r="G72" s="2" t="s">
        <v>331</v>
      </c>
      <c r="H72" s="2" t="s">
        <v>41</v>
      </c>
      <c r="I72" s="2" t="s">
        <v>225</v>
      </c>
      <c r="J72" s="2" t="s">
        <v>332</v>
      </c>
    </row>
    <row r="73" customFormat="false" ht="15" hidden="false" customHeight="false" outlineLevel="0" collapsed="false">
      <c r="C73" s="2" t="s">
        <v>333</v>
      </c>
      <c r="D73" s="2" t="s">
        <v>37</v>
      </c>
      <c r="E73" s="2" t="s">
        <v>334</v>
      </c>
      <c r="G73" s="2" t="s">
        <v>335</v>
      </c>
      <c r="H73" s="2" t="s">
        <v>41</v>
      </c>
      <c r="I73" s="2" t="s">
        <v>336</v>
      </c>
      <c r="J73" s="2" t="s">
        <v>137</v>
      </c>
      <c r="K73" s="2" t="s">
        <v>337</v>
      </c>
    </row>
    <row r="74" customFormat="false" ht="15" hidden="false" customHeight="false" outlineLevel="0" collapsed="false">
      <c r="C74" s="2" t="s">
        <v>338</v>
      </c>
      <c r="D74" s="2" t="s">
        <v>37</v>
      </c>
      <c r="E74" s="2" t="s">
        <v>339</v>
      </c>
      <c r="F74" s="2" t="s">
        <v>340</v>
      </c>
      <c r="G74" s="2" t="s">
        <v>341</v>
      </c>
      <c r="H74" s="2" t="s">
        <v>54</v>
      </c>
      <c r="I74" s="2" t="s">
        <v>122</v>
      </c>
      <c r="J74" s="2" t="s">
        <v>321</v>
      </c>
      <c r="K74" s="2" t="s">
        <v>342</v>
      </c>
    </row>
    <row r="75" customFormat="false" ht="15" hidden="false" customHeight="false" outlineLevel="0" collapsed="false">
      <c r="C75" s="2" t="s">
        <v>343</v>
      </c>
      <c r="D75" s="2" t="s">
        <v>344</v>
      </c>
      <c r="E75" s="2" t="s">
        <v>345</v>
      </c>
      <c r="F75" s="2" t="s">
        <v>345</v>
      </c>
      <c r="G75" s="2" t="s">
        <v>346</v>
      </c>
      <c r="H75" s="2" t="s">
        <v>41</v>
      </c>
      <c r="J75" s="2" t="s">
        <v>137</v>
      </c>
    </row>
    <row r="76" customFormat="false" ht="15" hidden="false" customHeight="false" outlineLevel="0" collapsed="false">
      <c r="C76" s="2" t="s">
        <v>347</v>
      </c>
      <c r="D76" s="2" t="s">
        <v>37</v>
      </c>
      <c r="E76" s="2" t="s">
        <v>348</v>
      </c>
      <c r="G76" s="2" t="s">
        <v>349</v>
      </c>
      <c r="H76" s="2" t="s">
        <v>41</v>
      </c>
      <c r="I76" s="2" t="s">
        <v>336</v>
      </c>
      <c r="J76" s="2" t="s">
        <v>162</v>
      </c>
      <c r="K76" s="2" t="s">
        <v>350</v>
      </c>
    </row>
    <row r="77" customFormat="false" ht="15" hidden="false" customHeight="false" outlineLevel="0" collapsed="false">
      <c r="C77" s="2" t="s">
        <v>351</v>
      </c>
      <c r="D77" s="2" t="s">
        <v>274</v>
      </c>
      <c r="E77" s="2" t="s">
        <v>352</v>
      </c>
      <c r="F77" s="2" t="s">
        <v>353</v>
      </c>
      <c r="G77" s="2" t="s">
        <v>354</v>
      </c>
      <c r="H77" s="2" t="s">
        <v>61</v>
      </c>
      <c r="K77" s="2" t="s">
        <v>355</v>
      </c>
    </row>
    <row r="78" customFormat="false" ht="15" hidden="false" customHeight="false" outlineLevel="0" collapsed="false">
      <c r="C78" s="2" t="s">
        <v>356</v>
      </c>
      <c r="D78" s="2" t="s">
        <v>37</v>
      </c>
      <c r="E78" s="2" t="s">
        <v>357</v>
      </c>
      <c r="F78" s="2" t="s">
        <v>229</v>
      </c>
      <c r="G78" s="2" t="s">
        <v>358</v>
      </c>
      <c r="H78" s="2" t="s">
        <v>41</v>
      </c>
      <c r="I78" s="2" t="s">
        <v>336</v>
      </c>
      <c r="J78" s="2" t="s">
        <v>321</v>
      </c>
      <c r="K78" s="2" t="s">
        <v>359</v>
      </c>
    </row>
    <row r="79" customFormat="false" ht="15" hidden="false" customHeight="false" outlineLevel="0" collapsed="false">
      <c r="C79" s="2" t="s">
        <v>124</v>
      </c>
      <c r="G79" s="2" t="s">
        <v>360</v>
      </c>
      <c r="H79" s="2" t="s">
        <v>41</v>
      </c>
    </row>
    <row r="80" customFormat="false" ht="15" hidden="false" customHeight="false" outlineLevel="0" collapsed="false">
      <c r="A80" s="2" t="s">
        <v>361</v>
      </c>
      <c r="B80" s="2" t="s">
        <v>362</v>
      </c>
      <c r="C80" s="2" t="s">
        <v>363</v>
      </c>
      <c r="D80" s="2" t="s">
        <v>37</v>
      </c>
      <c r="E80" s="2" t="s">
        <v>364</v>
      </c>
      <c r="F80" s="2" t="s">
        <v>365</v>
      </c>
      <c r="G80" s="2" t="s">
        <v>366</v>
      </c>
      <c r="I80" s="2" t="s">
        <v>320</v>
      </c>
      <c r="J80" s="2" t="s">
        <v>162</v>
      </c>
      <c r="K80" s="2" t="s">
        <v>367</v>
      </c>
    </row>
    <row r="81" customFormat="false" ht="15" hidden="false" customHeight="false" outlineLevel="0" collapsed="false">
      <c r="C81" s="2" t="s">
        <v>368</v>
      </c>
      <c r="D81" s="2" t="s">
        <v>281</v>
      </c>
      <c r="E81" s="2" t="s">
        <v>369</v>
      </c>
      <c r="F81" s="2" t="s">
        <v>370</v>
      </c>
      <c r="G81" s="2" t="s">
        <v>371</v>
      </c>
      <c r="H81" s="2" t="s">
        <v>41</v>
      </c>
      <c r="I81" s="2" t="s">
        <v>336</v>
      </c>
      <c r="J81" s="2" t="s">
        <v>258</v>
      </c>
      <c r="K81" s="2" t="s">
        <v>372</v>
      </c>
    </row>
    <row r="82" customFormat="false" ht="15" hidden="false" customHeight="false" outlineLevel="0" collapsed="false">
      <c r="C82" s="2" t="s">
        <v>373</v>
      </c>
      <c r="D82" s="2" t="s">
        <v>171</v>
      </c>
      <c r="E82" s="2" t="s">
        <v>374</v>
      </c>
      <c r="F82" s="2" t="s">
        <v>275</v>
      </c>
      <c r="G82" s="2" t="s">
        <v>375</v>
      </c>
      <c r="H82" s="2" t="s">
        <v>41</v>
      </c>
      <c r="I82" s="2" t="s">
        <v>42</v>
      </c>
      <c r="J82" s="2" t="s">
        <v>162</v>
      </c>
      <c r="K82" s="2" t="s">
        <v>376</v>
      </c>
      <c r="L82" s="2" t="s">
        <v>377</v>
      </c>
    </row>
    <row r="83" customFormat="false" ht="15" hidden="false" customHeight="false" outlineLevel="0" collapsed="false">
      <c r="C83" s="2" t="s">
        <v>378</v>
      </c>
      <c r="D83" s="2" t="s">
        <v>37</v>
      </c>
      <c r="E83" s="2" t="s">
        <v>269</v>
      </c>
      <c r="F83" s="2" t="s">
        <v>379</v>
      </c>
      <c r="G83" s="2" t="s">
        <v>136</v>
      </c>
      <c r="H83" s="2" t="s">
        <v>41</v>
      </c>
      <c r="I83" s="2" t="s">
        <v>67</v>
      </c>
      <c r="J83" s="2" t="s">
        <v>258</v>
      </c>
      <c r="K83" s="2" t="s">
        <v>380</v>
      </c>
    </row>
    <row r="84" customFormat="false" ht="15" hidden="false" customHeight="false" outlineLevel="0" collapsed="false">
      <c r="C84" s="2" t="s">
        <v>381</v>
      </c>
      <c r="D84" s="2" t="s">
        <v>37</v>
      </c>
      <c r="E84" s="2" t="s">
        <v>382</v>
      </c>
      <c r="F84" s="2" t="s">
        <v>152</v>
      </c>
      <c r="G84" s="2" t="s">
        <v>383</v>
      </c>
      <c r="H84" s="2" t="s">
        <v>41</v>
      </c>
      <c r="I84" s="2" t="s">
        <v>96</v>
      </c>
      <c r="J84" s="2" t="s">
        <v>290</v>
      </c>
    </row>
    <row r="85" customFormat="false" ht="15" hidden="false" customHeight="false" outlineLevel="0" collapsed="false">
      <c r="C85" s="2" t="s">
        <v>384</v>
      </c>
      <c r="D85" s="2" t="s">
        <v>385</v>
      </c>
      <c r="E85" s="2" t="s">
        <v>386</v>
      </c>
      <c r="G85" s="2" t="s">
        <v>387</v>
      </c>
      <c r="H85" s="2" t="s">
        <v>41</v>
      </c>
      <c r="I85" s="2" t="s">
        <v>225</v>
      </c>
      <c r="J85" s="2" t="s">
        <v>162</v>
      </c>
      <c r="K85" s="2" t="s">
        <v>388</v>
      </c>
    </row>
    <row r="86" customFormat="false" ht="15" hidden="false" customHeight="false" outlineLevel="0" collapsed="false">
      <c r="C86" s="2" t="s">
        <v>389</v>
      </c>
      <c r="D86" s="2" t="s">
        <v>344</v>
      </c>
      <c r="E86" s="2" t="s">
        <v>109</v>
      </c>
      <c r="F86" s="2" t="s">
        <v>109</v>
      </c>
      <c r="G86" s="2" t="s">
        <v>390</v>
      </c>
      <c r="H86" s="2" t="s">
        <v>41</v>
      </c>
      <c r="J86" s="2" t="s">
        <v>162</v>
      </c>
      <c r="K86" s="2" t="s">
        <v>226</v>
      </c>
    </row>
    <row r="87" customFormat="false" ht="15" hidden="false" customHeight="false" outlineLevel="0" collapsed="false">
      <c r="C87" s="2" t="s">
        <v>391</v>
      </c>
      <c r="D87" s="2" t="s">
        <v>37</v>
      </c>
      <c r="E87" s="2" t="s">
        <v>392</v>
      </c>
      <c r="F87" s="2" t="s">
        <v>393</v>
      </c>
      <c r="G87" s="2" t="s">
        <v>394</v>
      </c>
      <c r="H87" s="2" t="s">
        <v>41</v>
      </c>
      <c r="I87" s="2" t="s">
        <v>320</v>
      </c>
      <c r="J87" s="2" t="s">
        <v>290</v>
      </c>
      <c r="K87" s="2" t="s">
        <v>395</v>
      </c>
      <c r="L87" s="2" t="s">
        <v>396</v>
      </c>
    </row>
    <row r="88" customFormat="false" ht="15" hidden="false" customHeight="false" outlineLevel="0" collapsed="false">
      <c r="C88" s="2" t="s">
        <v>397</v>
      </c>
      <c r="D88" s="2" t="s">
        <v>37</v>
      </c>
      <c r="E88" s="2" t="s">
        <v>248</v>
      </c>
      <c r="F88" s="2" t="s">
        <v>398</v>
      </c>
      <c r="G88" s="2" t="s">
        <v>399</v>
      </c>
      <c r="I88" s="2" t="s">
        <v>122</v>
      </c>
      <c r="K88" s="2" t="s">
        <v>400</v>
      </c>
    </row>
    <row r="89" customFormat="false" ht="15" hidden="false" customHeight="false" outlineLevel="0" collapsed="false">
      <c r="C89" s="2" t="s">
        <v>401</v>
      </c>
      <c r="D89" s="2" t="s">
        <v>37</v>
      </c>
      <c r="E89" s="2" t="s">
        <v>402</v>
      </c>
      <c r="F89" s="2" t="s">
        <v>403</v>
      </c>
      <c r="G89" s="2" t="s">
        <v>404</v>
      </c>
      <c r="H89" s="2" t="s">
        <v>41</v>
      </c>
      <c r="I89" s="2" t="s">
        <v>67</v>
      </c>
      <c r="J89" s="2" t="s">
        <v>162</v>
      </c>
    </row>
    <row r="90" customFormat="false" ht="15" hidden="false" customHeight="false" outlineLevel="0" collapsed="false">
      <c r="C90" s="2" t="s">
        <v>405</v>
      </c>
      <c r="D90" s="2" t="s">
        <v>37</v>
      </c>
      <c r="E90" s="2" t="s">
        <v>406</v>
      </c>
      <c r="F90" s="2" t="s">
        <v>407</v>
      </c>
      <c r="G90" s="2" t="s">
        <v>408</v>
      </c>
      <c r="H90" s="2" t="s">
        <v>41</v>
      </c>
      <c r="I90" s="2" t="s">
        <v>74</v>
      </c>
      <c r="J90" s="2" t="s">
        <v>162</v>
      </c>
      <c r="K90" s="2" t="s">
        <v>409</v>
      </c>
    </row>
    <row r="91" customFormat="false" ht="15" hidden="false" customHeight="false" outlineLevel="0" collapsed="false">
      <c r="C91" s="2" t="s">
        <v>124</v>
      </c>
      <c r="G91" s="2" t="s">
        <v>410</v>
      </c>
      <c r="H91" s="2" t="s">
        <v>41</v>
      </c>
    </row>
    <row r="93" customFormat="false" ht="15" hidden="false" customHeight="false" outlineLevel="0" collapsed="false">
      <c r="A93" s="2" t="s">
        <v>411</v>
      </c>
      <c r="B93" s="2" t="s">
        <v>412</v>
      </c>
      <c r="C93" s="2" t="s">
        <v>413</v>
      </c>
      <c r="D93" s="2" t="s">
        <v>37</v>
      </c>
      <c r="E93" s="2" t="s">
        <v>414</v>
      </c>
      <c r="F93" s="2" t="s">
        <v>369</v>
      </c>
      <c r="G93" s="2" t="s">
        <v>415</v>
      </c>
      <c r="H93" s="2" t="s">
        <v>416</v>
      </c>
      <c r="I93" s="2" t="s">
        <v>417</v>
      </c>
      <c r="J93" s="2" t="s">
        <v>90</v>
      </c>
      <c r="K93" s="2" t="s">
        <v>418</v>
      </c>
      <c r="L93" s="2" t="s">
        <v>419</v>
      </c>
    </row>
    <row r="94" customFormat="false" ht="15" hidden="false" customHeight="false" outlineLevel="0" collapsed="false">
      <c r="C94" s="2" t="s">
        <v>420</v>
      </c>
      <c r="D94" s="2" t="s">
        <v>37</v>
      </c>
      <c r="E94" s="2" t="s">
        <v>421</v>
      </c>
      <c r="F94" s="2" t="s">
        <v>422</v>
      </c>
      <c r="G94" s="2" t="s">
        <v>423</v>
      </c>
      <c r="H94" s="2" t="s">
        <v>424</v>
      </c>
      <c r="I94" s="2" t="s">
        <v>219</v>
      </c>
      <c r="J94" s="2" t="s">
        <v>49</v>
      </c>
      <c r="K94" s="2" t="s">
        <v>425</v>
      </c>
    </row>
    <row r="95" customFormat="false" ht="15" hidden="false" customHeight="false" outlineLevel="0" collapsed="false">
      <c r="C95" s="2" t="s">
        <v>426</v>
      </c>
      <c r="D95" s="2" t="s">
        <v>37</v>
      </c>
      <c r="E95" s="2" t="s">
        <v>427</v>
      </c>
      <c r="F95" s="2" t="s">
        <v>428</v>
      </c>
      <c r="G95" s="2" t="s">
        <v>429</v>
      </c>
      <c r="H95" s="2" t="s">
        <v>416</v>
      </c>
      <c r="I95" s="2" t="s">
        <v>417</v>
      </c>
      <c r="J95" s="2" t="s">
        <v>43</v>
      </c>
      <c r="K95" s="2" t="s">
        <v>430</v>
      </c>
    </row>
    <row r="96" customFormat="false" ht="15" hidden="false" customHeight="false" outlineLevel="0" collapsed="false">
      <c r="C96" s="2" t="s">
        <v>431</v>
      </c>
      <c r="D96" s="2" t="s">
        <v>37</v>
      </c>
      <c r="E96" s="2" t="s">
        <v>432</v>
      </c>
      <c r="F96" s="2" t="s">
        <v>433</v>
      </c>
      <c r="G96" s="2" t="s">
        <v>434</v>
      </c>
      <c r="H96" s="2" t="s">
        <v>416</v>
      </c>
      <c r="I96" s="2" t="s">
        <v>219</v>
      </c>
      <c r="J96" s="2" t="s">
        <v>43</v>
      </c>
      <c r="K96" s="2" t="s">
        <v>56</v>
      </c>
    </row>
    <row r="97" customFormat="false" ht="15" hidden="false" customHeight="false" outlineLevel="0" collapsed="false">
      <c r="C97" s="2" t="s">
        <v>124</v>
      </c>
      <c r="G97" s="2" t="s">
        <v>435</v>
      </c>
      <c r="H97" s="2" t="s">
        <v>416</v>
      </c>
    </row>
    <row r="99" customFormat="false" ht="15" hidden="false" customHeight="false" outlineLevel="0" collapsed="false">
      <c r="A99" s="2" t="s">
        <v>436</v>
      </c>
      <c r="B99" s="2" t="s">
        <v>437</v>
      </c>
      <c r="C99" s="2" t="s">
        <v>438</v>
      </c>
      <c r="D99" s="2" t="s">
        <v>37</v>
      </c>
      <c r="E99" s="2" t="s">
        <v>439</v>
      </c>
      <c r="F99" s="2" t="s">
        <v>440</v>
      </c>
      <c r="G99" s="2" t="s">
        <v>441</v>
      </c>
      <c r="H99" s="2" t="s">
        <v>41</v>
      </c>
      <c r="I99" s="2" t="s">
        <v>442</v>
      </c>
      <c r="J99" s="2" t="s">
        <v>443</v>
      </c>
      <c r="K99" s="2" t="s">
        <v>444</v>
      </c>
    </row>
    <row r="100" customFormat="false" ht="15" hidden="false" customHeight="false" outlineLevel="0" collapsed="false">
      <c r="C100" s="2" t="s">
        <v>445</v>
      </c>
      <c r="D100" s="2" t="s">
        <v>37</v>
      </c>
      <c r="E100" s="2" t="s">
        <v>446</v>
      </c>
      <c r="F100" s="2" t="s">
        <v>447</v>
      </c>
      <c r="G100" s="2" t="s">
        <v>448</v>
      </c>
      <c r="H100" s="2" t="s">
        <v>41</v>
      </c>
      <c r="I100" s="2" t="s">
        <v>219</v>
      </c>
      <c r="J100" s="2" t="s">
        <v>132</v>
      </c>
      <c r="K100" s="2" t="s">
        <v>449</v>
      </c>
    </row>
    <row r="101" customFormat="false" ht="15" hidden="false" customHeight="false" outlineLevel="0" collapsed="false">
      <c r="C101" s="2" t="s">
        <v>450</v>
      </c>
      <c r="D101" s="2" t="s">
        <v>222</v>
      </c>
      <c r="E101" s="2" t="s">
        <v>451</v>
      </c>
      <c r="F101" s="2" t="s">
        <v>451</v>
      </c>
      <c r="G101" s="2" t="s">
        <v>452</v>
      </c>
      <c r="H101" s="2" t="s">
        <v>41</v>
      </c>
      <c r="I101" s="2" t="s">
        <v>225</v>
      </c>
      <c r="J101" s="2" t="s">
        <v>443</v>
      </c>
    </row>
    <row r="102" customFormat="false" ht="15" hidden="false" customHeight="false" outlineLevel="0" collapsed="false">
      <c r="C102" s="2" t="s">
        <v>453</v>
      </c>
      <c r="D102" s="2" t="s">
        <v>37</v>
      </c>
      <c r="E102" s="2" t="s">
        <v>454</v>
      </c>
      <c r="F102" s="2" t="s">
        <v>318</v>
      </c>
      <c r="G102" s="2" t="s">
        <v>455</v>
      </c>
      <c r="H102" s="2" t="s">
        <v>41</v>
      </c>
      <c r="I102" s="2" t="s">
        <v>442</v>
      </c>
      <c r="J102" s="2" t="s">
        <v>321</v>
      </c>
      <c r="K102" s="2" t="s">
        <v>456</v>
      </c>
    </row>
    <row r="103" customFormat="false" ht="15" hidden="false" customHeight="false" outlineLevel="0" collapsed="false">
      <c r="C103" s="2" t="s">
        <v>457</v>
      </c>
      <c r="D103" s="2" t="s">
        <v>37</v>
      </c>
      <c r="E103" s="2" t="s">
        <v>458</v>
      </c>
      <c r="F103" s="2" t="s">
        <v>459</v>
      </c>
      <c r="G103" s="2" t="s">
        <v>460</v>
      </c>
      <c r="H103" s="2" t="s">
        <v>41</v>
      </c>
      <c r="I103" s="2" t="s">
        <v>417</v>
      </c>
      <c r="J103" s="2" t="s">
        <v>132</v>
      </c>
      <c r="K103" s="2" t="s">
        <v>461</v>
      </c>
      <c r="L103" s="2" t="s">
        <v>462</v>
      </c>
    </row>
    <row r="104" customFormat="false" ht="15" hidden="false" customHeight="false" outlineLevel="0" collapsed="false">
      <c r="A104" s="2" t="s">
        <v>463</v>
      </c>
    </row>
    <row r="106" customFormat="false" ht="15" hidden="false" customHeight="false" outlineLevel="0" collapsed="false">
      <c r="A106" s="2" t="s">
        <v>17</v>
      </c>
      <c r="G106" s="2" t="s">
        <v>261</v>
      </c>
    </row>
    <row r="107" customFormat="false" ht="15" hidden="false" customHeight="false" outlineLevel="0" collapsed="false">
      <c r="A107" s="2" t="s">
        <v>22</v>
      </c>
      <c r="B107" s="2" t="s">
        <v>23</v>
      </c>
      <c r="C107" s="2" t="s">
        <v>24</v>
      </c>
      <c r="D107" s="2" t="s">
        <v>25</v>
      </c>
      <c r="E107" s="2" t="s">
        <v>26</v>
      </c>
      <c r="F107" s="2" t="s">
        <v>27</v>
      </c>
      <c r="G107" s="2" t="s">
        <v>28</v>
      </c>
      <c r="H107" s="2" t="s">
        <v>29</v>
      </c>
      <c r="I107" s="2" t="s">
        <v>30</v>
      </c>
      <c r="J107" s="2" t="s">
        <v>31</v>
      </c>
      <c r="K107" s="2" t="s">
        <v>32</v>
      </c>
      <c r="L107" s="2" t="s">
        <v>33</v>
      </c>
    </row>
    <row r="108" customFormat="false" ht="15" hidden="false" customHeight="false" outlineLevel="0" collapsed="false">
      <c r="A108" s="2" t="s">
        <v>464</v>
      </c>
      <c r="C108" s="2" t="s">
        <v>457</v>
      </c>
      <c r="D108" s="2" t="s">
        <v>37</v>
      </c>
      <c r="E108" s="2" t="s">
        <v>458</v>
      </c>
      <c r="F108" s="2" t="s">
        <v>459</v>
      </c>
      <c r="G108" s="2" t="s">
        <v>460</v>
      </c>
      <c r="H108" s="2" t="s">
        <v>41</v>
      </c>
      <c r="I108" s="2" t="s">
        <v>417</v>
      </c>
      <c r="J108" s="2" t="s">
        <v>132</v>
      </c>
      <c r="K108" s="2" t="s">
        <v>461</v>
      </c>
      <c r="L108" s="2" t="s">
        <v>462</v>
      </c>
    </row>
    <row r="109" customFormat="false" ht="15" hidden="false" customHeight="false" outlineLevel="0" collapsed="false">
      <c r="C109" s="2" t="s">
        <v>465</v>
      </c>
      <c r="D109" s="2" t="s">
        <v>37</v>
      </c>
      <c r="E109" s="2" t="s">
        <v>458</v>
      </c>
      <c r="F109" s="2" t="s">
        <v>459</v>
      </c>
      <c r="G109" s="2" t="s">
        <v>466</v>
      </c>
      <c r="H109" s="2" t="s">
        <v>41</v>
      </c>
      <c r="I109" s="2" t="s">
        <v>219</v>
      </c>
      <c r="J109" s="2" t="s">
        <v>443</v>
      </c>
      <c r="K109" s="2" t="s">
        <v>467</v>
      </c>
    </row>
    <row r="110" customFormat="false" ht="15" hidden="false" customHeight="false" outlineLevel="0" collapsed="false">
      <c r="C110" s="2" t="s">
        <v>468</v>
      </c>
      <c r="D110" s="2" t="s">
        <v>37</v>
      </c>
      <c r="E110" s="2" t="s">
        <v>469</v>
      </c>
      <c r="F110" s="2" t="s">
        <v>382</v>
      </c>
      <c r="G110" s="2" t="s">
        <v>470</v>
      </c>
      <c r="H110" s="2" t="s">
        <v>41</v>
      </c>
      <c r="I110" s="2" t="s">
        <v>442</v>
      </c>
      <c r="J110" s="2" t="s">
        <v>137</v>
      </c>
      <c r="K110" s="2" t="s">
        <v>471</v>
      </c>
    </row>
    <row r="111" customFormat="false" ht="15" hidden="false" customHeight="false" outlineLevel="0" collapsed="false">
      <c r="C111" s="2" t="s">
        <v>472</v>
      </c>
      <c r="D111" s="2" t="s">
        <v>37</v>
      </c>
      <c r="E111" s="2" t="s">
        <v>473</v>
      </c>
      <c r="F111" s="2" t="s">
        <v>379</v>
      </c>
      <c r="G111" s="2" t="s">
        <v>474</v>
      </c>
      <c r="H111" s="2" t="s">
        <v>41</v>
      </c>
      <c r="I111" s="2" t="s">
        <v>219</v>
      </c>
      <c r="J111" s="2" t="s">
        <v>137</v>
      </c>
      <c r="K111" s="2" t="s">
        <v>475</v>
      </c>
    </row>
    <row r="112" customFormat="false" ht="15" hidden="false" customHeight="false" outlineLevel="0" collapsed="false">
      <c r="C112" s="2" t="s">
        <v>476</v>
      </c>
      <c r="D112" s="2" t="s">
        <v>37</v>
      </c>
      <c r="E112" s="2" t="s">
        <v>477</v>
      </c>
      <c r="F112" s="2" t="s">
        <v>478</v>
      </c>
      <c r="G112" s="2" t="s">
        <v>479</v>
      </c>
      <c r="H112" s="2" t="s">
        <v>41</v>
      </c>
      <c r="I112" s="2" t="s">
        <v>219</v>
      </c>
      <c r="J112" s="2" t="s">
        <v>321</v>
      </c>
      <c r="K112" s="2" t="s">
        <v>480</v>
      </c>
    </row>
    <row r="113" customFormat="false" ht="15" hidden="false" customHeight="false" outlineLevel="0" collapsed="false">
      <c r="C113" s="2" t="s">
        <v>481</v>
      </c>
      <c r="D113" s="2" t="s">
        <v>81</v>
      </c>
      <c r="E113" s="2" t="s">
        <v>482</v>
      </c>
      <c r="F113" s="2" t="s">
        <v>483</v>
      </c>
      <c r="G113" s="2" t="s">
        <v>484</v>
      </c>
      <c r="H113" s="2" t="s">
        <v>41</v>
      </c>
      <c r="I113" s="2" t="s">
        <v>442</v>
      </c>
      <c r="J113" s="2" t="s">
        <v>132</v>
      </c>
      <c r="K113" s="2" t="s">
        <v>485</v>
      </c>
      <c r="L113" s="2" t="s">
        <v>377</v>
      </c>
    </row>
    <row r="114" customFormat="false" ht="15" hidden="false" customHeight="false" outlineLevel="0" collapsed="false">
      <c r="C114" s="2" t="s">
        <v>486</v>
      </c>
      <c r="D114" s="2" t="s">
        <v>281</v>
      </c>
      <c r="E114" s="2" t="s">
        <v>304</v>
      </c>
      <c r="F114" s="2" t="s">
        <v>487</v>
      </c>
      <c r="G114" s="2" t="s">
        <v>488</v>
      </c>
      <c r="H114" s="2" t="s">
        <v>41</v>
      </c>
      <c r="I114" s="2" t="s">
        <v>219</v>
      </c>
      <c r="J114" s="2" t="s">
        <v>489</v>
      </c>
      <c r="K114" s="2" t="s">
        <v>490</v>
      </c>
    </row>
    <row r="115" customFormat="false" ht="15" hidden="false" customHeight="false" outlineLevel="0" collapsed="false">
      <c r="C115" s="2" t="s">
        <v>124</v>
      </c>
      <c r="G115" s="2" t="s">
        <v>491</v>
      </c>
      <c r="H115" s="2" t="s">
        <v>41</v>
      </c>
    </row>
    <row r="116" customFormat="false" ht="15" hidden="false" customHeight="false" outlineLevel="0" collapsed="false">
      <c r="A116" s="2" t="s">
        <v>492</v>
      </c>
      <c r="B116" s="2" t="s">
        <v>493</v>
      </c>
      <c r="C116" s="2" t="s">
        <v>494</v>
      </c>
      <c r="D116" s="2" t="s">
        <v>37</v>
      </c>
      <c r="E116" s="2" t="s">
        <v>318</v>
      </c>
      <c r="F116" s="2" t="s">
        <v>495</v>
      </c>
      <c r="G116" s="2" t="s">
        <v>496</v>
      </c>
      <c r="H116" s="2" t="s">
        <v>41</v>
      </c>
      <c r="I116" s="2" t="s">
        <v>320</v>
      </c>
      <c r="J116" s="2" t="s">
        <v>278</v>
      </c>
      <c r="K116" s="2" t="s">
        <v>497</v>
      </c>
    </row>
    <row r="117" customFormat="false" ht="15" hidden="false" customHeight="false" outlineLevel="0" collapsed="false">
      <c r="C117" s="2" t="s">
        <v>498</v>
      </c>
      <c r="D117" s="2" t="s">
        <v>37</v>
      </c>
      <c r="E117" s="2" t="s">
        <v>499</v>
      </c>
      <c r="F117" s="2" t="s">
        <v>500</v>
      </c>
      <c r="G117" s="2" t="s">
        <v>501</v>
      </c>
      <c r="H117" s="2" t="s">
        <v>41</v>
      </c>
      <c r="I117" s="2" t="s">
        <v>67</v>
      </c>
      <c r="J117" s="2" t="s">
        <v>502</v>
      </c>
    </row>
    <row r="118" customFormat="false" ht="15" hidden="false" customHeight="false" outlineLevel="0" collapsed="false">
      <c r="C118" s="2" t="s">
        <v>503</v>
      </c>
      <c r="D118" s="2" t="s">
        <v>37</v>
      </c>
      <c r="E118" s="2" t="s">
        <v>504</v>
      </c>
      <c r="F118" s="2" t="s">
        <v>505</v>
      </c>
      <c r="G118" s="2" t="s">
        <v>506</v>
      </c>
      <c r="H118" s="2" t="s">
        <v>41</v>
      </c>
      <c r="I118" s="2" t="s">
        <v>67</v>
      </c>
      <c r="J118" s="2" t="s">
        <v>502</v>
      </c>
    </row>
    <row r="119" customFormat="false" ht="15" hidden="false" customHeight="false" outlineLevel="0" collapsed="false">
      <c r="C119" s="2" t="s">
        <v>507</v>
      </c>
      <c r="D119" s="2" t="s">
        <v>37</v>
      </c>
      <c r="E119" s="2" t="s">
        <v>264</v>
      </c>
      <c r="F119" s="2" t="s">
        <v>508</v>
      </c>
      <c r="G119" s="2" t="s">
        <v>509</v>
      </c>
      <c r="H119" s="2" t="s">
        <v>41</v>
      </c>
      <c r="I119" s="2" t="s">
        <v>42</v>
      </c>
      <c r="J119" s="2" t="s">
        <v>502</v>
      </c>
      <c r="K119" s="2" t="s">
        <v>510</v>
      </c>
    </row>
    <row r="120" customFormat="false" ht="15" hidden="false" customHeight="false" outlineLevel="0" collapsed="false">
      <c r="C120" s="2" t="s">
        <v>511</v>
      </c>
      <c r="D120" s="2" t="s">
        <v>37</v>
      </c>
      <c r="E120" s="2" t="s">
        <v>183</v>
      </c>
      <c r="F120" s="2" t="s">
        <v>386</v>
      </c>
      <c r="G120" s="2" t="s">
        <v>512</v>
      </c>
      <c r="H120" s="2" t="s">
        <v>41</v>
      </c>
      <c r="I120" s="2" t="s">
        <v>213</v>
      </c>
      <c r="J120" s="2" t="s">
        <v>502</v>
      </c>
      <c r="K120" s="2" t="s">
        <v>513</v>
      </c>
    </row>
    <row r="121" customFormat="false" ht="15" hidden="false" customHeight="false" outlineLevel="0" collapsed="false">
      <c r="C121" s="2" t="s">
        <v>124</v>
      </c>
      <c r="G121" s="2" t="s">
        <v>514</v>
      </c>
      <c r="H121" s="2" t="s">
        <v>41</v>
      </c>
    </row>
    <row r="122" customFormat="false" ht="15" hidden="false" customHeight="false" outlineLevel="0" collapsed="false">
      <c r="A122" s="2" t="s">
        <v>515</v>
      </c>
      <c r="B122" s="2" t="s">
        <v>516</v>
      </c>
      <c r="C122" s="2" t="s">
        <v>517</v>
      </c>
      <c r="D122" s="2" t="s">
        <v>37</v>
      </c>
      <c r="E122" s="2" t="s">
        <v>518</v>
      </c>
      <c r="F122" s="2" t="s">
        <v>519</v>
      </c>
      <c r="G122" s="2" t="s">
        <v>520</v>
      </c>
      <c r="H122" s="2" t="s">
        <v>236</v>
      </c>
      <c r="I122" s="2" t="s">
        <v>213</v>
      </c>
      <c r="J122" s="2" t="s">
        <v>321</v>
      </c>
      <c r="K122" s="2" t="s">
        <v>521</v>
      </c>
    </row>
    <row r="123" customFormat="false" ht="15" hidden="false" customHeight="false" outlineLevel="0" collapsed="false">
      <c r="C123" s="2" t="s">
        <v>522</v>
      </c>
      <c r="D123" s="2" t="s">
        <v>37</v>
      </c>
      <c r="E123" s="2" t="s">
        <v>523</v>
      </c>
      <c r="F123" s="2" t="s">
        <v>524</v>
      </c>
      <c r="G123" s="2" t="s">
        <v>525</v>
      </c>
      <c r="H123" s="2" t="s">
        <v>41</v>
      </c>
      <c r="I123" s="2" t="s">
        <v>168</v>
      </c>
      <c r="J123" s="2" t="s">
        <v>137</v>
      </c>
      <c r="K123" s="2" t="s">
        <v>526</v>
      </c>
    </row>
    <row r="124" customFormat="false" ht="15" hidden="false" customHeight="false" outlineLevel="0" collapsed="false">
      <c r="C124" s="2" t="s">
        <v>527</v>
      </c>
      <c r="D124" s="2" t="s">
        <v>274</v>
      </c>
      <c r="E124" s="2" t="s">
        <v>528</v>
      </c>
      <c r="F124" s="2" t="s">
        <v>529</v>
      </c>
      <c r="G124" s="2" t="s">
        <v>530</v>
      </c>
      <c r="H124" s="2" t="s">
        <v>41</v>
      </c>
      <c r="I124" s="2" t="s">
        <v>161</v>
      </c>
      <c r="J124" s="2" t="s">
        <v>137</v>
      </c>
      <c r="K124" s="2" t="s">
        <v>531</v>
      </c>
    </row>
    <row r="125" customFormat="false" ht="15" hidden="false" customHeight="false" outlineLevel="0" collapsed="false">
      <c r="C125" s="2" t="s">
        <v>532</v>
      </c>
      <c r="D125" s="2" t="s">
        <v>329</v>
      </c>
      <c r="E125" s="2" t="s">
        <v>533</v>
      </c>
      <c r="F125" s="2" t="s">
        <v>533</v>
      </c>
      <c r="G125" s="2" t="s">
        <v>534</v>
      </c>
      <c r="H125" s="2" t="s">
        <v>41</v>
      </c>
      <c r="J125" s="2" t="s">
        <v>443</v>
      </c>
      <c r="K125" s="2" t="s">
        <v>535</v>
      </c>
    </row>
    <row r="126" customFormat="false" ht="15" hidden="false" customHeight="false" outlineLevel="0" collapsed="false">
      <c r="C126" s="2" t="s">
        <v>536</v>
      </c>
      <c r="D126" s="2" t="s">
        <v>37</v>
      </c>
      <c r="E126" s="2" t="s">
        <v>537</v>
      </c>
      <c r="F126" s="2" t="s">
        <v>370</v>
      </c>
      <c r="G126" s="2" t="s">
        <v>538</v>
      </c>
      <c r="H126" s="2" t="s">
        <v>41</v>
      </c>
      <c r="I126" s="2" t="s">
        <v>161</v>
      </c>
      <c r="K126" s="2" t="s">
        <v>539</v>
      </c>
    </row>
    <row r="127" customFormat="false" ht="15" hidden="false" customHeight="false" outlineLevel="0" collapsed="false">
      <c r="C127" s="2" t="s">
        <v>540</v>
      </c>
      <c r="D127" s="2" t="s">
        <v>37</v>
      </c>
      <c r="E127" s="2" t="s">
        <v>541</v>
      </c>
      <c r="F127" s="2" t="s">
        <v>542</v>
      </c>
      <c r="G127" s="2" t="s">
        <v>543</v>
      </c>
      <c r="H127" s="2" t="s">
        <v>41</v>
      </c>
      <c r="I127" s="2" t="s">
        <v>213</v>
      </c>
      <c r="J127" s="2" t="s">
        <v>332</v>
      </c>
      <c r="K127" s="2" t="s">
        <v>544</v>
      </c>
      <c r="L127" s="2" t="s">
        <v>272</v>
      </c>
    </row>
    <row r="128" customFormat="false" ht="15" hidden="false" customHeight="false" outlineLevel="0" collapsed="false">
      <c r="C128" s="2" t="s">
        <v>545</v>
      </c>
      <c r="D128" s="2" t="s">
        <v>37</v>
      </c>
      <c r="E128" s="2" t="s">
        <v>546</v>
      </c>
      <c r="F128" s="2" t="s">
        <v>269</v>
      </c>
      <c r="G128" s="2" t="s">
        <v>547</v>
      </c>
      <c r="H128" s="2" t="s">
        <v>41</v>
      </c>
      <c r="I128" s="2" t="s">
        <v>161</v>
      </c>
      <c r="J128" s="2" t="s">
        <v>332</v>
      </c>
      <c r="K128" s="2" t="s">
        <v>548</v>
      </c>
      <c r="L128" s="2" t="s">
        <v>549</v>
      </c>
    </row>
    <row r="129" customFormat="false" ht="15" hidden="false" customHeight="false" outlineLevel="0" collapsed="false">
      <c r="C129" s="2" t="s">
        <v>550</v>
      </c>
      <c r="D129" s="2" t="s">
        <v>37</v>
      </c>
      <c r="E129" s="2" t="s">
        <v>551</v>
      </c>
      <c r="G129" s="2" t="s">
        <v>552</v>
      </c>
      <c r="H129" s="2" t="s">
        <v>41</v>
      </c>
      <c r="I129" s="2" t="s">
        <v>245</v>
      </c>
      <c r="J129" s="2" t="s">
        <v>137</v>
      </c>
      <c r="K129" s="2" t="s">
        <v>553</v>
      </c>
    </row>
    <row r="130" customFormat="false" ht="15" hidden="false" customHeight="false" outlineLevel="0" collapsed="false">
      <c r="C130" s="2" t="s">
        <v>554</v>
      </c>
      <c r="D130" s="2" t="s">
        <v>37</v>
      </c>
      <c r="E130" s="2" t="s">
        <v>105</v>
      </c>
      <c r="F130" s="2" t="s">
        <v>555</v>
      </c>
      <c r="G130" s="2" t="s">
        <v>556</v>
      </c>
      <c r="H130" s="2" t="s">
        <v>41</v>
      </c>
      <c r="I130" s="2" t="s">
        <v>161</v>
      </c>
      <c r="J130" s="2" t="s">
        <v>443</v>
      </c>
      <c r="K130" s="2" t="s">
        <v>557</v>
      </c>
      <c r="L130" s="2" t="s">
        <v>57</v>
      </c>
    </row>
    <row r="131" customFormat="false" ht="15" hidden="false" customHeight="false" outlineLevel="0" collapsed="false">
      <c r="C131" s="2" t="s">
        <v>558</v>
      </c>
      <c r="D131" s="2" t="s">
        <v>37</v>
      </c>
      <c r="E131" s="2" t="s">
        <v>559</v>
      </c>
      <c r="F131" s="2" t="s">
        <v>560</v>
      </c>
      <c r="G131" s="2" t="s">
        <v>561</v>
      </c>
      <c r="H131" s="2" t="s">
        <v>41</v>
      </c>
      <c r="I131" s="2" t="s">
        <v>168</v>
      </c>
      <c r="J131" s="2" t="s">
        <v>132</v>
      </c>
      <c r="K131" s="2" t="s">
        <v>562</v>
      </c>
    </row>
    <row r="132" customFormat="false" ht="15" hidden="false" customHeight="false" outlineLevel="0" collapsed="false">
      <c r="C132" s="2" t="s">
        <v>124</v>
      </c>
      <c r="G132" s="2" t="s">
        <v>563</v>
      </c>
      <c r="H132" s="2" t="s">
        <v>41</v>
      </c>
    </row>
    <row r="133" customFormat="false" ht="15" hidden="false" customHeight="false" outlineLevel="0" collapsed="false">
      <c r="C133" s="2" t="s">
        <v>564</v>
      </c>
    </row>
    <row r="134" customFormat="false" ht="15" hidden="false" customHeight="false" outlineLevel="0" collapsed="false">
      <c r="A134" s="2" t="s">
        <v>565</v>
      </c>
      <c r="B134" s="2" t="s">
        <v>566</v>
      </c>
      <c r="C134" s="2" t="s">
        <v>567</v>
      </c>
      <c r="D134" s="2" t="s">
        <v>37</v>
      </c>
      <c r="E134" s="2" t="s">
        <v>568</v>
      </c>
      <c r="F134" s="2" t="s">
        <v>569</v>
      </c>
      <c r="G134" s="2" t="s">
        <v>570</v>
      </c>
      <c r="H134" s="2" t="s">
        <v>236</v>
      </c>
      <c r="I134" s="2" t="s">
        <v>175</v>
      </c>
      <c r="J134" s="2" t="s">
        <v>571</v>
      </c>
      <c r="K134" s="2" t="s">
        <v>572</v>
      </c>
    </row>
    <row r="135" customFormat="false" ht="15" hidden="false" customHeight="false" outlineLevel="0" collapsed="false">
      <c r="C135" s="2" t="s">
        <v>573</v>
      </c>
      <c r="D135" s="2" t="s">
        <v>37</v>
      </c>
      <c r="E135" s="2" t="s">
        <v>451</v>
      </c>
      <c r="F135" s="2" t="s">
        <v>574</v>
      </c>
      <c r="G135" s="2" t="s">
        <v>575</v>
      </c>
      <c r="H135" s="2" t="s">
        <v>41</v>
      </c>
      <c r="I135" s="2" t="s">
        <v>213</v>
      </c>
      <c r="J135" s="2" t="s">
        <v>571</v>
      </c>
      <c r="K135" s="2" t="s">
        <v>56</v>
      </c>
      <c r="L135" s="2" t="s">
        <v>576</v>
      </c>
    </row>
    <row r="136" customFormat="false" ht="15" hidden="false" customHeight="false" outlineLevel="0" collapsed="false">
      <c r="C136" s="2" t="s">
        <v>577</v>
      </c>
      <c r="D136" s="2" t="s">
        <v>344</v>
      </c>
      <c r="E136" s="2" t="s">
        <v>578</v>
      </c>
      <c r="F136" s="2" t="s">
        <v>578</v>
      </c>
      <c r="G136" s="2" t="s">
        <v>579</v>
      </c>
      <c r="H136" s="2" t="s">
        <v>41</v>
      </c>
      <c r="I136" s="2" t="s">
        <v>225</v>
      </c>
      <c r="J136" s="2" t="s">
        <v>580</v>
      </c>
      <c r="K136" s="2" t="s">
        <v>226</v>
      </c>
    </row>
    <row r="137" customFormat="false" ht="15" hidden="false" customHeight="false" outlineLevel="0" collapsed="false">
      <c r="C137" s="2" t="s">
        <v>581</v>
      </c>
      <c r="D137" s="2" t="s">
        <v>281</v>
      </c>
      <c r="E137" s="2" t="s">
        <v>582</v>
      </c>
      <c r="F137" s="2" t="s">
        <v>478</v>
      </c>
      <c r="G137" s="2" t="s">
        <v>583</v>
      </c>
      <c r="H137" s="2" t="s">
        <v>41</v>
      </c>
      <c r="I137" s="2" t="s">
        <v>161</v>
      </c>
      <c r="J137" s="2" t="s">
        <v>571</v>
      </c>
      <c r="K137" s="2" t="s">
        <v>584</v>
      </c>
    </row>
    <row r="138" customFormat="false" ht="15" hidden="false" customHeight="false" outlineLevel="0" collapsed="false">
      <c r="C138" s="2" t="s">
        <v>585</v>
      </c>
      <c r="D138" s="2" t="s">
        <v>281</v>
      </c>
      <c r="E138" s="2" t="s">
        <v>83</v>
      </c>
      <c r="F138" s="2" t="s">
        <v>586</v>
      </c>
      <c r="G138" s="2" t="s">
        <v>587</v>
      </c>
      <c r="H138" s="2" t="s">
        <v>41</v>
      </c>
      <c r="I138" s="2" t="s">
        <v>168</v>
      </c>
      <c r="J138" s="2" t="s">
        <v>580</v>
      </c>
      <c r="K138" s="2" t="s">
        <v>588</v>
      </c>
    </row>
    <row r="139" customFormat="false" ht="15" hidden="false" customHeight="false" outlineLevel="0" collapsed="false">
      <c r="C139" s="2" t="s">
        <v>589</v>
      </c>
      <c r="D139" s="2" t="s">
        <v>37</v>
      </c>
      <c r="E139" s="2" t="s">
        <v>590</v>
      </c>
      <c r="G139" s="2" t="s">
        <v>591</v>
      </c>
      <c r="H139" s="2" t="s">
        <v>236</v>
      </c>
      <c r="I139" s="2" t="s">
        <v>161</v>
      </c>
      <c r="J139" s="2" t="s">
        <v>592</v>
      </c>
      <c r="K139" s="2" t="s">
        <v>593</v>
      </c>
    </row>
    <row r="140" customFormat="false" ht="15" hidden="false" customHeight="false" outlineLevel="0" collapsed="false">
      <c r="C140" s="2" t="s">
        <v>594</v>
      </c>
      <c r="D140" s="2" t="s">
        <v>37</v>
      </c>
      <c r="E140" s="2" t="s">
        <v>595</v>
      </c>
      <c r="F140" s="2" t="s">
        <v>596</v>
      </c>
      <c r="G140" s="2" t="s">
        <v>597</v>
      </c>
      <c r="H140" s="2" t="s">
        <v>61</v>
      </c>
      <c r="I140" s="2" t="s">
        <v>213</v>
      </c>
      <c r="J140" s="2" t="s">
        <v>580</v>
      </c>
      <c r="K140" s="2" t="s">
        <v>598</v>
      </c>
    </row>
    <row r="141" customFormat="false" ht="15" hidden="false" customHeight="false" outlineLevel="0" collapsed="false">
      <c r="C141" s="2" t="s">
        <v>599</v>
      </c>
      <c r="D141" s="2" t="s">
        <v>37</v>
      </c>
      <c r="E141" s="2" t="s">
        <v>427</v>
      </c>
      <c r="F141" s="2" t="s">
        <v>120</v>
      </c>
      <c r="G141" s="2" t="s">
        <v>600</v>
      </c>
      <c r="H141" s="2" t="s">
        <v>41</v>
      </c>
      <c r="J141" s="2" t="s">
        <v>489</v>
      </c>
    </row>
    <row r="142" customFormat="false" ht="15" hidden="false" customHeight="false" outlineLevel="0" collapsed="false">
      <c r="C142" s="2" t="s">
        <v>601</v>
      </c>
      <c r="D142" s="2" t="s">
        <v>37</v>
      </c>
      <c r="E142" s="2" t="s">
        <v>114</v>
      </c>
      <c r="F142" s="2" t="s">
        <v>602</v>
      </c>
      <c r="G142" s="2" t="s">
        <v>603</v>
      </c>
      <c r="I142" s="2" t="s">
        <v>219</v>
      </c>
      <c r="J142" s="2" t="s">
        <v>592</v>
      </c>
      <c r="K142" s="2" t="s">
        <v>604</v>
      </c>
    </row>
    <row r="143" customFormat="false" ht="15" hidden="false" customHeight="false" outlineLevel="0" collapsed="false">
      <c r="C143" s="2" t="s">
        <v>605</v>
      </c>
      <c r="D143" s="2" t="s">
        <v>37</v>
      </c>
      <c r="E143" s="2" t="s">
        <v>606</v>
      </c>
      <c r="F143" s="2" t="s">
        <v>607</v>
      </c>
      <c r="G143" s="2" t="s">
        <v>608</v>
      </c>
      <c r="H143" s="2" t="s">
        <v>41</v>
      </c>
      <c r="I143" s="2" t="s">
        <v>175</v>
      </c>
      <c r="J143" s="2" t="s">
        <v>609</v>
      </c>
      <c r="K143" s="2" t="s">
        <v>610</v>
      </c>
    </row>
    <row r="144" customFormat="false" ht="15" hidden="false" customHeight="false" outlineLevel="0" collapsed="false">
      <c r="C144" s="2" t="s">
        <v>124</v>
      </c>
      <c r="G144" s="2" t="s">
        <v>611</v>
      </c>
      <c r="H144" s="2" t="s">
        <v>41</v>
      </c>
    </row>
    <row r="146" customFormat="false" ht="15" hidden="false" customHeight="false" outlineLevel="0" collapsed="false">
      <c r="C146" s="2" t="s">
        <v>564</v>
      </c>
    </row>
    <row r="147" customFormat="false" ht="15" hidden="false" customHeight="false" outlineLevel="0" collapsed="false">
      <c r="A147" s="2" t="s">
        <v>612</v>
      </c>
      <c r="B147" s="2" t="s">
        <v>613</v>
      </c>
      <c r="C147" s="2" t="s">
        <v>614</v>
      </c>
      <c r="D147" s="2" t="s">
        <v>37</v>
      </c>
      <c r="E147" s="2" t="s">
        <v>615</v>
      </c>
      <c r="F147" s="2" t="s">
        <v>616</v>
      </c>
      <c r="G147" s="2" t="s">
        <v>617</v>
      </c>
      <c r="H147" s="2" t="s">
        <v>41</v>
      </c>
      <c r="I147" s="2" t="s">
        <v>102</v>
      </c>
      <c r="J147" s="2" t="s">
        <v>258</v>
      </c>
      <c r="K147" s="2" t="s">
        <v>618</v>
      </c>
    </row>
    <row r="148" customFormat="false" ht="15" hidden="false" customHeight="false" outlineLevel="0" collapsed="false">
      <c r="C148" s="2" t="s">
        <v>619</v>
      </c>
      <c r="D148" s="2" t="s">
        <v>37</v>
      </c>
      <c r="E148" s="2" t="s">
        <v>620</v>
      </c>
      <c r="F148" s="2" t="s">
        <v>621</v>
      </c>
      <c r="G148" s="2" t="s">
        <v>622</v>
      </c>
      <c r="H148" s="2" t="s">
        <v>41</v>
      </c>
      <c r="I148" s="2" t="s">
        <v>336</v>
      </c>
      <c r="J148" s="2" t="s">
        <v>162</v>
      </c>
      <c r="K148" s="2" t="s">
        <v>623</v>
      </c>
      <c r="L148" s="2" t="s">
        <v>624</v>
      </c>
    </row>
    <row r="149" customFormat="false" ht="15" hidden="false" customHeight="false" outlineLevel="0" collapsed="false">
      <c r="C149" s="2" t="s">
        <v>124</v>
      </c>
      <c r="G149" s="2" t="s">
        <v>625</v>
      </c>
      <c r="H149" s="2" t="s">
        <v>41</v>
      </c>
    </row>
    <row r="150" customFormat="false" ht="15" hidden="false" customHeight="false" outlineLevel="0" collapsed="false">
      <c r="A150" s="2" t="s">
        <v>626</v>
      </c>
      <c r="B150" s="2" t="s">
        <v>627</v>
      </c>
      <c r="C150" s="2" t="s">
        <v>628</v>
      </c>
      <c r="D150" s="2" t="s">
        <v>37</v>
      </c>
      <c r="E150" s="2" t="s">
        <v>454</v>
      </c>
      <c r="F150" s="2" t="s">
        <v>317</v>
      </c>
      <c r="G150" s="2" t="s">
        <v>629</v>
      </c>
      <c r="H150" s="2" t="s">
        <v>41</v>
      </c>
      <c r="I150" s="2" t="s">
        <v>336</v>
      </c>
      <c r="J150" s="2" t="s">
        <v>443</v>
      </c>
      <c r="K150" s="2" t="s">
        <v>630</v>
      </c>
    </row>
    <row r="151" customFormat="false" ht="15" hidden="false" customHeight="false" outlineLevel="0" collapsed="false">
      <c r="C151" s="2" t="s">
        <v>631</v>
      </c>
      <c r="D151" s="2" t="s">
        <v>274</v>
      </c>
      <c r="E151" s="2" t="s">
        <v>632</v>
      </c>
      <c r="F151" s="2" t="s">
        <v>633</v>
      </c>
      <c r="G151" s="2" t="s">
        <v>634</v>
      </c>
      <c r="H151" s="2" t="s">
        <v>41</v>
      </c>
      <c r="I151" s="2" t="s">
        <v>320</v>
      </c>
      <c r="J151" s="2" t="s">
        <v>137</v>
      </c>
      <c r="K151" s="2" t="s">
        <v>635</v>
      </c>
    </row>
    <row r="152" customFormat="false" ht="15" hidden="false" customHeight="false" outlineLevel="0" collapsed="false">
      <c r="C152" s="2" t="s">
        <v>636</v>
      </c>
      <c r="D152" s="2" t="s">
        <v>37</v>
      </c>
      <c r="E152" s="2" t="s">
        <v>637</v>
      </c>
      <c r="G152" s="2" t="s">
        <v>638</v>
      </c>
      <c r="H152" s="2" t="s">
        <v>41</v>
      </c>
      <c r="I152" s="2" t="s">
        <v>122</v>
      </c>
      <c r="J152" s="2" t="s">
        <v>321</v>
      </c>
      <c r="K152" s="2" t="s">
        <v>639</v>
      </c>
    </row>
    <row r="153" customFormat="false" ht="15" hidden="false" customHeight="false" outlineLevel="0" collapsed="false">
      <c r="C153" s="2" t="s">
        <v>640</v>
      </c>
      <c r="D153" s="2" t="s">
        <v>37</v>
      </c>
      <c r="E153" s="2" t="s">
        <v>641</v>
      </c>
      <c r="F153" s="2" t="s">
        <v>642</v>
      </c>
      <c r="G153" s="2" t="s">
        <v>643</v>
      </c>
      <c r="H153" s="2" t="s">
        <v>61</v>
      </c>
      <c r="I153" s="2" t="s">
        <v>42</v>
      </c>
      <c r="J153" s="2" t="s">
        <v>443</v>
      </c>
      <c r="K153" s="2" t="s">
        <v>644</v>
      </c>
      <c r="L153" s="2" t="s">
        <v>645</v>
      </c>
    </row>
    <row r="154" customFormat="false" ht="15" hidden="false" customHeight="false" outlineLevel="0" collapsed="false">
      <c r="C154" s="2" t="s">
        <v>646</v>
      </c>
      <c r="D154" s="2" t="s">
        <v>222</v>
      </c>
      <c r="E154" s="2" t="s">
        <v>647</v>
      </c>
      <c r="F154" s="2" t="s">
        <v>647</v>
      </c>
      <c r="G154" s="2" t="s">
        <v>648</v>
      </c>
      <c r="H154" s="2" t="s">
        <v>41</v>
      </c>
      <c r="J154" s="2" t="s">
        <v>137</v>
      </c>
    </row>
    <row r="155" customFormat="false" ht="15" hidden="false" customHeight="false" outlineLevel="0" collapsed="false">
      <c r="C155" s="2" t="s">
        <v>649</v>
      </c>
      <c r="D155" s="2" t="s">
        <v>37</v>
      </c>
      <c r="E155" s="2" t="s">
        <v>130</v>
      </c>
      <c r="F155" s="2" t="s">
        <v>650</v>
      </c>
      <c r="G155" s="2" t="s">
        <v>651</v>
      </c>
      <c r="H155" s="2" t="s">
        <v>41</v>
      </c>
      <c r="I155" s="2" t="s">
        <v>67</v>
      </c>
      <c r="K155" s="2" t="s">
        <v>652</v>
      </c>
    </row>
    <row r="156" customFormat="false" ht="15" hidden="false" customHeight="false" outlineLevel="0" collapsed="false">
      <c r="C156" s="2" t="s">
        <v>653</v>
      </c>
      <c r="D156" s="2" t="s">
        <v>37</v>
      </c>
      <c r="E156" s="2" t="s">
        <v>130</v>
      </c>
      <c r="F156" s="2" t="s">
        <v>650</v>
      </c>
      <c r="G156" s="2" t="s">
        <v>654</v>
      </c>
      <c r="H156" s="2" t="s">
        <v>41</v>
      </c>
      <c r="I156" s="2" t="s">
        <v>320</v>
      </c>
      <c r="J156" s="2" t="s">
        <v>332</v>
      </c>
      <c r="K156" s="2" t="s">
        <v>655</v>
      </c>
    </row>
    <row r="157" customFormat="false" ht="15" hidden="false" customHeight="false" outlineLevel="0" collapsed="false">
      <c r="A157" s="2" t="s">
        <v>656</v>
      </c>
    </row>
    <row r="159" customFormat="false" ht="15" hidden="false" customHeight="false" outlineLevel="0" collapsed="false">
      <c r="A159" s="2" t="s">
        <v>17</v>
      </c>
      <c r="G159" s="2" t="s">
        <v>261</v>
      </c>
    </row>
    <row r="160" customFormat="false" ht="15" hidden="false" customHeight="false" outlineLevel="0" collapsed="false">
      <c r="A160" s="2" t="s">
        <v>22</v>
      </c>
      <c r="B160" s="2" t="s">
        <v>23</v>
      </c>
      <c r="C160" s="2" t="s">
        <v>24</v>
      </c>
      <c r="D160" s="2" t="s">
        <v>25</v>
      </c>
      <c r="E160" s="2" t="s">
        <v>26</v>
      </c>
      <c r="F160" s="2" t="s">
        <v>27</v>
      </c>
      <c r="G160" s="2" t="s">
        <v>28</v>
      </c>
      <c r="H160" s="2" t="s">
        <v>29</v>
      </c>
      <c r="I160" s="2" t="s">
        <v>30</v>
      </c>
      <c r="J160" s="2" t="s">
        <v>31</v>
      </c>
      <c r="K160" s="2" t="s">
        <v>32</v>
      </c>
      <c r="L160" s="2" t="s">
        <v>33</v>
      </c>
    </row>
    <row r="161" customFormat="false" ht="15" hidden="false" customHeight="false" outlineLevel="0" collapsed="false">
      <c r="A161" s="2" t="s">
        <v>657</v>
      </c>
      <c r="C161" s="2" t="s">
        <v>653</v>
      </c>
      <c r="D161" s="2" t="s">
        <v>37</v>
      </c>
      <c r="E161" s="2" t="s">
        <v>130</v>
      </c>
      <c r="F161" s="2" t="s">
        <v>650</v>
      </c>
      <c r="G161" s="2" t="s">
        <v>654</v>
      </c>
      <c r="H161" s="2" t="s">
        <v>41</v>
      </c>
      <c r="I161" s="2" t="s">
        <v>320</v>
      </c>
      <c r="J161" s="2" t="s">
        <v>332</v>
      </c>
      <c r="K161" s="2" t="s">
        <v>655</v>
      </c>
    </row>
    <row r="162" customFormat="false" ht="15" hidden="false" customHeight="false" outlineLevel="0" collapsed="false">
      <c r="A162" s="2" t="s">
        <v>626</v>
      </c>
      <c r="C162" s="2" t="s">
        <v>658</v>
      </c>
      <c r="D162" s="2" t="s">
        <v>281</v>
      </c>
      <c r="E162" s="2" t="s">
        <v>659</v>
      </c>
      <c r="F162" s="2" t="s">
        <v>660</v>
      </c>
      <c r="G162" s="2" t="s">
        <v>661</v>
      </c>
      <c r="H162" s="2" t="s">
        <v>41</v>
      </c>
      <c r="I162" s="2" t="s">
        <v>320</v>
      </c>
      <c r="J162" s="2" t="s">
        <v>137</v>
      </c>
      <c r="K162" s="2" t="s">
        <v>662</v>
      </c>
    </row>
    <row r="163" customFormat="false" ht="15" hidden="false" customHeight="false" outlineLevel="0" collapsed="false">
      <c r="C163" s="2" t="s">
        <v>663</v>
      </c>
      <c r="D163" s="2" t="s">
        <v>37</v>
      </c>
      <c r="E163" s="2" t="s">
        <v>664</v>
      </c>
      <c r="F163" s="2" t="s">
        <v>665</v>
      </c>
      <c r="G163" s="2" t="s">
        <v>666</v>
      </c>
      <c r="H163" s="2" t="s">
        <v>41</v>
      </c>
      <c r="I163" s="2" t="s">
        <v>42</v>
      </c>
      <c r="J163" s="2" t="s">
        <v>137</v>
      </c>
      <c r="K163" s="2" t="s">
        <v>667</v>
      </c>
    </row>
    <row r="164" customFormat="false" ht="15" hidden="false" customHeight="false" outlineLevel="0" collapsed="false">
      <c r="C164" s="2" t="s">
        <v>668</v>
      </c>
      <c r="D164" s="2" t="s">
        <v>81</v>
      </c>
      <c r="E164" s="2" t="s">
        <v>606</v>
      </c>
      <c r="F164" s="2" t="s">
        <v>234</v>
      </c>
      <c r="G164" s="2" t="s">
        <v>669</v>
      </c>
      <c r="H164" s="2" t="s">
        <v>41</v>
      </c>
      <c r="I164" s="2" t="s">
        <v>122</v>
      </c>
      <c r="J164" s="2" t="s">
        <v>332</v>
      </c>
      <c r="K164" s="2" t="s">
        <v>670</v>
      </c>
    </row>
    <row r="165" customFormat="false" ht="15" hidden="false" customHeight="false" outlineLevel="0" collapsed="false">
      <c r="C165" s="2" t="s">
        <v>124</v>
      </c>
      <c r="G165" s="2" t="s">
        <v>671</v>
      </c>
      <c r="H165" s="2" t="s">
        <v>41</v>
      </c>
    </row>
    <row r="166" customFormat="false" ht="15" hidden="false" customHeight="false" outlineLevel="0" collapsed="false">
      <c r="A166" s="2" t="s">
        <v>672</v>
      </c>
      <c r="B166" s="2" t="s">
        <v>673</v>
      </c>
      <c r="C166" s="2" t="s">
        <v>674</v>
      </c>
      <c r="D166" s="2" t="s">
        <v>37</v>
      </c>
      <c r="E166" s="2" t="s">
        <v>675</v>
      </c>
      <c r="F166" s="2" t="s">
        <v>676</v>
      </c>
      <c r="G166" s="2" t="s">
        <v>677</v>
      </c>
      <c r="H166" s="2" t="s">
        <v>41</v>
      </c>
      <c r="I166" s="2" t="s">
        <v>219</v>
      </c>
      <c r="J166" s="2" t="s">
        <v>162</v>
      </c>
      <c r="K166" s="2" t="s">
        <v>678</v>
      </c>
    </row>
    <row r="167" customFormat="false" ht="15" hidden="false" customHeight="false" outlineLevel="0" collapsed="false">
      <c r="C167" s="2" t="s">
        <v>679</v>
      </c>
      <c r="D167" s="2" t="s">
        <v>37</v>
      </c>
      <c r="E167" s="2" t="s">
        <v>680</v>
      </c>
      <c r="F167" s="2" t="s">
        <v>59</v>
      </c>
      <c r="G167" s="2" t="s">
        <v>681</v>
      </c>
      <c r="H167" s="2" t="s">
        <v>41</v>
      </c>
      <c r="I167" s="2" t="s">
        <v>42</v>
      </c>
      <c r="J167" s="2" t="s">
        <v>258</v>
      </c>
      <c r="K167" s="2" t="s">
        <v>682</v>
      </c>
    </row>
    <row r="168" customFormat="false" ht="15" hidden="false" customHeight="false" outlineLevel="0" collapsed="false">
      <c r="C168" s="2" t="s">
        <v>683</v>
      </c>
      <c r="D168" s="2" t="s">
        <v>37</v>
      </c>
      <c r="E168" s="2" t="s">
        <v>256</v>
      </c>
      <c r="G168" s="2" t="s">
        <v>684</v>
      </c>
      <c r="H168" s="2" t="s">
        <v>41</v>
      </c>
      <c r="I168" s="2" t="s">
        <v>67</v>
      </c>
      <c r="J168" s="2" t="s">
        <v>278</v>
      </c>
    </row>
    <row r="169" customFormat="false" ht="15" hidden="false" customHeight="false" outlineLevel="0" collapsed="false">
      <c r="C169" s="2" t="s">
        <v>685</v>
      </c>
      <c r="D169" s="2" t="s">
        <v>344</v>
      </c>
      <c r="E169" s="2" t="s">
        <v>686</v>
      </c>
      <c r="F169" s="2" t="s">
        <v>686</v>
      </c>
      <c r="G169" s="2" t="s">
        <v>687</v>
      </c>
      <c r="H169" s="2" t="s">
        <v>41</v>
      </c>
      <c r="I169" s="2" t="s">
        <v>225</v>
      </c>
      <c r="J169" s="2" t="s">
        <v>290</v>
      </c>
    </row>
    <row r="170" customFormat="false" ht="15" hidden="false" customHeight="false" outlineLevel="0" collapsed="false">
      <c r="C170" s="2" t="s">
        <v>688</v>
      </c>
      <c r="D170" s="2" t="s">
        <v>344</v>
      </c>
      <c r="E170" s="2" t="s">
        <v>187</v>
      </c>
      <c r="G170" s="2" t="s">
        <v>689</v>
      </c>
      <c r="H170" s="2" t="s">
        <v>41</v>
      </c>
      <c r="J170" s="2" t="s">
        <v>258</v>
      </c>
      <c r="K170" s="2" t="s">
        <v>690</v>
      </c>
    </row>
    <row r="171" customFormat="false" ht="15" hidden="false" customHeight="false" outlineLevel="0" collapsed="false">
      <c r="C171" s="2" t="s">
        <v>691</v>
      </c>
      <c r="D171" s="2" t="s">
        <v>274</v>
      </c>
      <c r="E171" s="2" t="s">
        <v>692</v>
      </c>
      <c r="F171" s="2" t="s">
        <v>152</v>
      </c>
      <c r="G171" s="2" t="s">
        <v>693</v>
      </c>
      <c r="H171" s="2" t="s">
        <v>41</v>
      </c>
      <c r="I171" s="2" t="s">
        <v>417</v>
      </c>
      <c r="J171" s="2" t="s">
        <v>694</v>
      </c>
      <c r="K171" s="2" t="s">
        <v>695</v>
      </c>
    </row>
    <row r="172" customFormat="false" ht="15" hidden="false" customHeight="false" outlineLevel="0" collapsed="false">
      <c r="C172" s="2" t="s">
        <v>696</v>
      </c>
      <c r="D172" s="2" t="s">
        <v>37</v>
      </c>
      <c r="E172" s="2" t="s">
        <v>697</v>
      </c>
      <c r="F172" s="2" t="s">
        <v>698</v>
      </c>
      <c r="G172" s="2" t="s">
        <v>699</v>
      </c>
      <c r="H172" s="2" t="s">
        <v>236</v>
      </c>
      <c r="I172" s="2" t="s">
        <v>42</v>
      </c>
      <c r="J172" s="2" t="s">
        <v>258</v>
      </c>
      <c r="K172" s="2" t="s">
        <v>700</v>
      </c>
    </row>
    <row r="173" customFormat="false" ht="15" hidden="false" customHeight="false" outlineLevel="0" collapsed="false">
      <c r="C173" s="2" t="s">
        <v>701</v>
      </c>
      <c r="D173" s="2" t="s">
        <v>37</v>
      </c>
      <c r="E173" s="2" t="s">
        <v>183</v>
      </c>
      <c r="F173" s="2" t="s">
        <v>210</v>
      </c>
      <c r="G173" s="2" t="s">
        <v>702</v>
      </c>
      <c r="H173" s="2" t="s">
        <v>41</v>
      </c>
      <c r="J173" s="2" t="s">
        <v>162</v>
      </c>
      <c r="K173" s="2" t="s">
        <v>703</v>
      </c>
    </row>
    <row r="174" customFormat="false" ht="15" hidden="false" customHeight="false" outlineLevel="0" collapsed="false">
      <c r="C174" s="2" t="s">
        <v>704</v>
      </c>
      <c r="D174" s="2" t="s">
        <v>37</v>
      </c>
      <c r="E174" s="2" t="s">
        <v>705</v>
      </c>
      <c r="F174" s="2" t="s">
        <v>559</v>
      </c>
      <c r="G174" s="2" t="s">
        <v>706</v>
      </c>
      <c r="H174" s="2" t="s">
        <v>41</v>
      </c>
      <c r="I174" s="2" t="s">
        <v>42</v>
      </c>
      <c r="K174" s="2" t="s">
        <v>707</v>
      </c>
    </row>
    <row r="175" customFormat="false" ht="15" hidden="false" customHeight="false" outlineLevel="0" collapsed="false">
      <c r="C175" s="2" t="s">
        <v>708</v>
      </c>
      <c r="D175" s="2" t="s">
        <v>37</v>
      </c>
      <c r="E175" s="2" t="s">
        <v>660</v>
      </c>
      <c r="F175" s="2" t="s">
        <v>709</v>
      </c>
      <c r="G175" s="2" t="s">
        <v>710</v>
      </c>
      <c r="H175" s="2" t="s">
        <v>236</v>
      </c>
      <c r="I175" s="2" t="s">
        <v>42</v>
      </c>
      <c r="J175" s="2" t="s">
        <v>258</v>
      </c>
      <c r="K175" s="2" t="s">
        <v>711</v>
      </c>
    </row>
    <row r="176" customFormat="false" ht="15" hidden="false" customHeight="false" outlineLevel="0" collapsed="false">
      <c r="C176" s="2" t="s">
        <v>124</v>
      </c>
      <c r="G176" s="2" t="s">
        <v>712</v>
      </c>
      <c r="H176" s="2" t="s">
        <v>41</v>
      </c>
    </row>
    <row r="177" customFormat="false" ht="15" hidden="false" customHeight="false" outlineLevel="0" collapsed="false">
      <c r="A177" s="2" t="s">
        <v>713</v>
      </c>
      <c r="B177" s="2" t="s">
        <v>714</v>
      </c>
      <c r="C177" s="2" t="s">
        <v>715</v>
      </c>
      <c r="D177" s="2" t="s">
        <v>37</v>
      </c>
      <c r="E177" s="2" t="s">
        <v>716</v>
      </c>
      <c r="F177" s="2" t="s">
        <v>717</v>
      </c>
      <c r="G177" s="2" t="s">
        <v>718</v>
      </c>
      <c r="H177" s="2" t="s">
        <v>41</v>
      </c>
      <c r="I177" s="2" t="s">
        <v>96</v>
      </c>
      <c r="J177" s="2" t="s">
        <v>719</v>
      </c>
      <c r="K177" s="2" t="s">
        <v>720</v>
      </c>
    </row>
    <row r="178" customFormat="false" ht="15" hidden="false" customHeight="false" outlineLevel="0" collapsed="false">
      <c r="C178" s="2" t="s">
        <v>721</v>
      </c>
      <c r="D178" s="2" t="s">
        <v>37</v>
      </c>
      <c r="E178" s="2" t="s">
        <v>722</v>
      </c>
      <c r="F178" s="2" t="s">
        <v>723</v>
      </c>
      <c r="G178" s="2" t="s">
        <v>724</v>
      </c>
      <c r="H178" s="2" t="s">
        <v>41</v>
      </c>
      <c r="I178" s="2" t="s">
        <v>320</v>
      </c>
      <c r="J178" s="2" t="s">
        <v>193</v>
      </c>
    </row>
    <row r="179" customFormat="false" ht="15" hidden="false" customHeight="false" outlineLevel="0" collapsed="false">
      <c r="C179" s="2" t="s">
        <v>725</v>
      </c>
      <c r="D179" s="2" t="s">
        <v>37</v>
      </c>
      <c r="E179" s="2" t="s">
        <v>726</v>
      </c>
      <c r="F179" s="2" t="s">
        <v>64</v>
      </c>
      <c r="G179" s="2" t="s">
        <v>727</v>
      </c>
      <c r="H179" s="2" t="s">
        <v>41</v>
      </c>
      <c r="I179" s="2" t="s">
        <v>320</v>
      </c>
      <c r="J179" s="2" t="s">
        <v>728</v>
      </c>
      <c r="K179" s="2" t="s">
        <v>729</v>
      </c>
    </row>
    <row r="180" customFormat="false" ht="15" hidden="false" customHeight="false" outlineLevel="0" collapsed="false">
      <c r="C180" s="2" t="s">
        <v>730</v>
      </c>
      <c r="D180" s="2" t="s">
        <v>37</v>
      </c>
      <c r="E180" s="2" t="s">
        <v>731</v>
      </c>
      <c r="F180" s="2" t="s">
        <v>732</v>
      </c>
      <c r="G180" s="2" t="s">
        <v>733</v>
      </c>
      <c r="H180" s="2" t="s">
        <v>236</v>
      </c>
      <c r="I180" s="2" t="s">
        <v>122</v>
      </c>
      <c r="J180" s="2" t="s">
        <v>719</v>
      </c>
      <c r="K180" s="2" t="s">
        <v>734</v>
      </c>
    </row>
    <row r="181" customFormat="false" ht="15" hidden="false" customHeight="false" outlineLevel="0" collapsed="false">
      <c r="C181" s="2" t="s">
        <v>735</v>
      </c>
      <c r="D181" s="2" t="s">
        <v>37</v>
      </c>
      <c r="E181" s="2" t="s">
        <v>736</v>
      </c>
      <c r="F181" s="2" t="s">
        <v>737</v>
      </c>
      <c r="G181" s="2" t="s">
        <v>738</v>
      </c>
      <c r="H181" s="2" t="s">
        <v>41</v>
      </c>
      <c r="I181" s="2" t="s">
        <v>42</v>
      </c>
      <c r="J181" s="2" t="s">
        <v>728</v>
      </c>
      <c r="K181" s="2" t="s">
        <v>739</v>
      </c>
    </row>
    <row r="182" customFormat="false" ht="15" hidden="false" customHeight="false" outlineLevel="0" collapsed="false">
      <c r="C182" s="2" t="s">
        <v>740</v>
      </c>
      <c r="D182" s="2" t="s">
        <v>37</v>
      </c>
      <c r="E182" s="2" t="s">
        <v>741</v>
      </c>
      <c r="F182" s="2" t="s">
        <v>742</v>
      </c>
      <c r="G182" s="2" t="s">
        <v>743</v>
      </c>
      <c r="H182" s="2" t="s">
        <v>41</v>
      </c>
      <c r="I182" s="2" t="s">
        <v>42</v>
      </c>
      <c r="J182" s="2" t="s">
        <v>719</v>
      </c>
      <c r="K182" s="2" t="s">
        <v>744</v>
      </c>
    </row>
    <row r="183" customFormat="false" ht="15" hidden="false" customHeight="false" outlineLevel="0" collapsed="false">
      <c r="C183" s="2" t="s">
        <v>745</v>
      </c>
      <c r="D183" s="2" t="s">
        <v>37</v>
      </c>
      <c r="E183" s="2" t="s">
        <v>665</v>
      </c>
      <c r="F183" s="2" t="s">
        <v>746</v>
      </c>
      <c r="G183" s="2" t="s">
        <v>747</v>
      </c>
      <c r="H183" s="2" t="s">
        <v>41</v>
      </c>
      <c r="I183" s="2" t="s">
        <v>42</v>
      </c>
      <c r="J183" s="2" t="s">
        <v>748</v>
      </c>
    </row>
    <row r="184" customFormat="false" ht="15" hidden="false" customHeight="false" outlineLevel="0" collapsed="false">
      <c r="C184" s="2" t="s">
        <v>749</v>
      </c>
      <c r="D184" s="2" t="s">
        <v>329</v>
      </c>
      <c r="E184" s="2" t="s">
        <v>114</v>
      </c>
      <c r="F184" s="2" t="s">
        <v>114</v>
      </c>
      <c r="G184" s="2" t="s">
        <v>750</v>
      </c>
      <c r="H184" s="2" t="s">
        <v>41</v>
      </c>
      <c r="J184" s="2" t="s">
        <v>751</v>
      </c>
      <c r="K184" s="2" t="s">
        <v>752</v>
      </c>
    </row>
    <row r="185" customFormat="false" ht="15" hidden="false" customHeight="false" outlineLevel="0" collapsed="false">
      <c r="C185" s="2" t="s">
        <v>753</v>
      </c>
      <c r="D185" s="2" t="s">
        <v>37</v>
      </c>
      <c r="E185" s="2" t="s">
        <v>406</v>
      </c>
      <c r="F185" s="2" t="s">
        <v>407</v>
      </c>
      <c r="G185" s="2" t="s">
        <v>754</v>
      </c>
      <c r="H185" s="2" t="s">
        <v>41</v>
      </c>
      <c r="I185" s="2" t="s">
        <v>42</v>
      </c>
      <c r="J185" s="2" t="s">
        <v>571</v>
      </c>
      <c r="K185" s="2" t="s">
        <v>755</v>
      </c>
    </row>
    <row r="186" customFormat="false" ht="15" hidden="false" customHeight="false" outlineLevel="0" collapsed="false">
      <c r="C186" s="2" t="s">
        <v>124</v>
      </c>
      <c r="G186" s="2" t="s">
        <v>756</v>
      </c>
      <c r="H186" s="2" t="s">
        <v>41</v>
      </c>
    </row>
    <row r="187" customFormat="false" ht="15" hidden="false" customHeight="false" outlineLevel="0" collapsed="false">
      <c r="A187" s="2" t="s">
        <v>757</v>
      </c>
      <c r="B187" s="2" t="s">
        <v>758</v>
      </c>
      <c r="C187" s="2" t="s">
        <v>759</v>
      </c>
      <c r="D187" s="2" t="s">
        <v>281</v>
      </c>
      <c r="E187" s="2" t="s">
        <v>760</v>
      </c>
      <c r="F187" s="2" t="s">
        <v>761</v>
      </c>
      <c r="G187" s="2" t="s">
        <v>762</v>
      </c>
      <c r="H187" s="2" t="s">
        <v>41</v>
      </c>
      <c r="I187" s="2" t="s">
        <v>122</v>
      </c>
      <c r="J187" s="2" t="s">
        <v>609</v>
      </c>
      <c r="K187" s="2" t="s">
        <v>763</v>
      </c>
    </row>
    <row r="188" customFormat="false" ht="15" hidden="false" customHeight="false" outlineLevel="0" collapsed="false">
      <c r="C188" s="2" t="s">
        <v>764</v>
      </c>
      <c r="D188" s="2" t="s">
        <v>37</v>
      </c>
      <c r="E188" s="2" t="s">
        <v>88</v>
      </c>
      <c r="F188" s="2" t="s">
        <v>765</v>
      </c>
      <c r="G188" s="2" t="s">
        <v>766</v>
      </c>
      <c r="H188" s="2" t="s">
        <v>41</v>
      </c>
      <c r="I188" s="2" t="s">
        <v>67</v>
      </c>
      <c r="J188" s="2" t="s">
        <v>571</v>
      </c>
      <c r="K188" s="2" t="s">
        <v>767</v>
      </c>
    </row>
    <row r="189" customFormat="false" ht="15" hidden="false" customHeight="false" outlineLevel="0" collapsed="false">
      <c r="C189" s="2" t="s">
        <v>124</v>
      </c>
      <c r="G189" s="2" t="s">
        <v>768</v>
      </c>
      <c r="H189" s="2" t="s">
        <v>41</v>
      </c>
    </row>
    <row r="191" customFormat="false" ht="15" hidden="false" customHeight="false" outlineLevel="0" collapsed="false">
      <c r="A191" s="2" t="s">
        <v>769</v>
      </c>
      <c r="B191" s="2" t="s">
        <v>770</v>
      </c>
      <c r="C191" s="2" t="s">
        <v>771</v>
      </c>
      <c r="D191" s="2" t="s">
        <v>37</v>
      </c>
      <c r="E191" s="2" t="s">
        <v>772</v>
      </c>
      <c r="F191" s="2" t="s">
        <v>773</v>
      </c>
      <c r="G191" s="2" t="s">
        <v>774</v>
      </c>
      <c r="I191" s="2" t="s">
        <v>161</v>
      </c>
      <c r="J191" s="2" t="s">
        <v>775</v>
      </c>
    </row>
    <row r="192" customFormat="false" ht="15" hidden="false" customHeight="false" outlineLevel="0" collapsed="false">
      <c r="C192" s="2" t="s">
        <v>776</v>
      </c>
      <c r="D192" s="2" t="s">
        <v>171</v>
      </c>
      <c r="E192" s="2" t="s">
        <v>777</v>
      </c>
      <c r="F192" s="2" t="s">
        <v>778</v>
      </c>
      <c r="G192" s="2" t="s">
        <v>779</v>
      </c>
      <c r="H192" s="2" t="s">
        <v>41</v>
      </c>
      <c r="I192" s="2" t="s">
        <v>175</v>
      </c>
      <c r="J192" s="2" t="s">
        <v>580</v>
      </c>
    </row>
    <row r="193" customFormat="false" ht="15" hidden="false" customHeight="false" outlineLevel="0" collapsed="false">
      <c r="C193" s="2" t="s">
        <v>780</v>
      </c>
      <c r="D193" s="2" t="s">
        <v>281</v>
      </c>
      <c r="E193" s="2" t="s">
        <v>781</v>
      </c>
      <c r="F193" s="2" t="s">
        <v>782</v>
      </c>
      <c r="G193" s="2" t="s">
        <v>783</v>
      </c>
      <c r="H193" s="2" t="s">
        <v>41</v>
      </c>
      <c r="I193" s="2" t="s">
        <v>161</v>
      </c>
      <c r="J193" s="2" t="s">
        <v>571</v>
      </c>
      <c r="K193" s="2" t="s">
        <v>784</v>
      </c>
    </row>
    <row r="194" customFormat="false" ht="15" hidden="false" customHeight="false" outlineLevel="0" collapsed="false">
      <c r="C194" s="2" t="s">
        <v>124</v>
      </c>
      <c r="G194" s="2" t="s">
        <v>785</v>
      </c>
      <c r="H194" s="2" t="s">
        <v>41</v>
      </c>
    </row>
    <row r="196" customFormat="false" ht="15" hidden="false" customHeight="false" outlineLevel="0" collapsed="false">
      <c r="A196" s="2" t="s">
        <v>786</v>
      </c>
      <c r="B196" s="2" t="s">
        <v>787</v>
      </c>
      <c r="C196" s="2" t="s">
        <v>788</v>
      </c>
      <c r="D196" s="2" t="s">
        <v>37</v>
      </c>
      <c r="E196" s="2" t="s">
        <v>789</v>
      </c>
      <c r="F196" s="2" t="s">
        <v>790</v>
      </c>
      <c r="G196" s="2" t="s">
        <v>791</v>
      </c>
      <c r="H196" s="2" t="s">
        <v>41</v>
      </c>
      <c r="I196" s="2" t="s">
        <v>219</v>
      </c>
      <c r="J196" s="2" t="s">
        <v>443</v>
      </c>
      <c r="K196" s="2" t="s">
        <v>792</v>
      </c>
    </row>
    <row r="197" customFormat="false" ht="15" hidden="false" customHeight="false" outlineLevel="0" collapsed="false">
      <c r="C197" s="2" t="s">
        <v>793</v>
      </c>
      <c r="D197" s="2" t="s">
        <v>37</v>
      </c>
      <c r="E197" s="2" t="s">
        <v>794</v>
      </c>
      <c r="F197" s="2" t="s">
        <v>795</v>
      </c>
      <c r="G197" s="2" t="s">
        <v>796</v>
      </c>
      <c r="H197" s="2" t="s">
        <v>41</v>
      </c>
      <c r="I197" s="2" t="s">
        <v>417</v>
      </c>
      <c r="J197" s="2" t="s">
        <v>132</v>
      </c>
      <c r="K197" s="2" t="s">
        <v>797</v>
      </c>
      <c r="L197" s="2" t="s">
        <v>798</v>
      </c>
    </row>
    <row r="198" customFormat="false" ht="15" hidden="false" customHeight="false" outlineLevel="0" collapsed="false">
      <c r="C198" s="2" t="s">
        <v>799</v>
      </c>
      <c r="D198" s="2" t="s">
        <v>37</v>
      </c>
      <c r="E198" s="2" t="s">
        <v>800</v>
      </c>
      <c r="F198" s="2" t="s">
        <v>801</v>
      </c>
      <c r="G198" s="2" t="s">
        <v>802</v>
      </c>
      <c r="I198" s="2" t="s">
        <v>803</v>
      </c>
      <c r="J198" s="2" t="s">
        <v>137</v>
      </c>
      <c r="K198" s="2" t="s">
        <v>804</v>
      </c>
    </row>
    <row r="199" customFormat="false" ht="15" hidden="false" customHeight="false" outlineLevel="0" collapsed="false">
      <c r="C199" s="2" t="s">
        <v>805</v>
      </c>
      <c r="D199" s="2" t="s">
        <v>37</v>
      </c>
      <c r="E199" s="2" t="s">
        <v>806</v>
      </c>
      <c r="F199" s="2" t="s">
        <v>807</v>
      </c>
      <c r="G199" s="2" t="s">
        <v>808</v>
      </c>
      <c r="H199" s="2" t="s">
        <v>41</v>
      </c>
      <c r="I199" s="2" t="s">
        <v>442</v>
      </c>
      <c r="K199" s="2" t="s">
        <v>809</v>
      </c>
      <c r="L199" s="2" t="s">
        <v>57</v>
      </c>
    </row>
    <row r="200" customFormat="false" ht="15" hidden="false" customHeight="false" outlineLevel="0" collapsed="false">
      <c r="C200" s="2" t="s">
        <v>810</v>
      </c>
      <c r="D200" s="2" t="s">
        <v>281</v>
      </c>
      <c r="E200" s="2" t="s">
        <v>811</v>
      </c>
      <c r="F200" s="2" t="s">
        <v>77</v>
      </c>
      <c r="G200" s="2" t="s">
        <v>812</v>
      </c>
      <c r="H200" s="2" t="s">
        <v>41</v>
      </c>
      <c r="I200" s="2" t="s">
        <v>219</v>
      </c>
      <c r="K200" s="2" t="s">
        <v>307</v>
      </c>
    </row>
    <row r="201" customFormat="false" ht="15" hidden="false" customHeight="false" outlineLevel="0" collapsed="false">
      <c r="C201" s="2" t="s">
        <v>813</v>
      </c>
      <c r="D201" s="2" t="s">
        <v>37</v>
      </c>
      <c r="E201" s="2" t="s">
        <v>814</v>
      </c>
      <c r="F201" s="2" t="s">
        <v>815</v>
      </c>
      <c r="G201" s="2" t="s">
        <v>816</v>
      </c>
      <c r="H201" s="2" t="s">
        <v>41</v>
      </c>
      <c r="I201" s="2" t="s">
        <v>442</v>
      </c>
      <c r="J201" s="2" t="s">
        <v>137</v>
      </c>
      <c r="K201" s="2" t="s">
        <v>817</v>
      </c>
    </row>
    <row r="202" customFormat="false" ht="15" hidden="false" customHeight="false" outlineLevel="0" collapsed="false">
      <c r="C202" s="2" t="s">
        <v>818</v>
      </c>
      <c r="D202" s="2" t="s">
        <v>344</v>
      </c>
      <c r="E202" s="2" t="s">
        <v>819</v>
      </c>
      <c r="F202" s="2" t="s">
        <v>819</v>
      </c>
      <c r="G202" s="2" t="s">
        <v>820</v>
      </c>
      <c r="H202" s="2" t="s">
        <v>41</v>
      </c>
      <c r="J202" s="2" t="s">
        <v>137</v>
      </c>
    </row>
    <row r="203" customFormat="false" ht="15" hidden="false" customHeight="false" outlineLevel="0" collapsed="false">
      <c r="C203" s="2" t="s">
        <v>821</v>
      </c>
      <c r="D203" s="2" t="s">
        <v>37</v>
      </c>
      <c r="E203" s="2" t="s">
        <v>822</v>
      </c>
      <c r="F203" s="2" t="s">
        <v>823</v>
      </c>
      <c r="G203" s="2" t="s">
        <v>824</v>
      </c>
      <c r="H203" s="2" t="s">
        <v>61</v>
      </c>
      <c r="I203" s="2" t="s">
        <v>417</v>
      </c>
      <c r="J203" s="2" t="s">
        <v>132</v>
      </c>
    </row>
    <row r="204" customFormat="false" ht="15" hidden="false" customHeight="false" outlineLevel="0" collapsed="false">
      <c r="C204" s="2" t="s">
        <v>825</v>
      </c>
      <c r="D204" s="2" t="s">
        <v>37</v>
      </c>
      <c r="E204" s="2" t="s">
        <v>826</v>
      </c>
      <c r="F204" s="2" t="s">
        <v>109</v>
      </c>
      <c r="G204" s="2" t="s">
        <v>827</v>
      </c>
      <c r="H204" s="2" t="s">
        <v>41</v>
      </c>
      <c r="I204" s="2" t="s">
        <v>417</v>
      </c>
      <c r="J204" s="2" t="s">
        <v>443</v>
      </c>
    </row>
    <row r="205" customFormat="false" ht="15" hidden="false" customHeight="false" outlineLevel="0" collapsed="false">
      <c r="C205" s="2" t="s">
        <v>828</v>
      </c>
      <c r="D205" s="2" t="s">
        <v>37</v>
      </c>
      <c r="E205" s="2" t="s">
        <v>382</v>
      </c>
      <c r="F205" s="2" t="s">
        <v>829</v>
      </c>
      <c r="G205" s="2" t="s">
        <v>830</v>
      </c>
      <c r="H205" s="2" t="s">
        <v>41</v>
      </c>
      <c r="I205" s="2" t="s">
        <v>219</v>
      </c>
      <c r="J205" s="2" t="s">
        <v>137</v>
      </c>
      <c r="K205" s="2" t="s">
        <v>831</v>
      </c>
    </row>
    <row r="206" customFormat="false" ht="15" hidden="false" customHeight="false" outlineLevel="0" collapsed="false">
      <c r="C206" s="2" t="s">
        <v>832</v>
      </c>
      <c r="D206" s="2" t="s">
        <v>329</v>
      </c>
      <c r="E206" s="2" t="s">
        <v>275</v>
      </c>
      <c r="G206" s="2" t="s">
        <v>833</v>
      </c>
      <c r="H206" s="2" t="s">
        <v>41</v>
      </c>
      <c r="I206" s="2" t="s">
        <v>225</v>
      </c>
      <c r="J206" s="2" t="s">
        <v>332</v>
      </c>
      <c r="K206" s="2" t="s">
        <v>834</v>
      </c>
    </row>
    <row r="207" customFormat="false" ht="15" hidden="false" customHeight="false" outlineLevel="0" collapsed="false">
      <c r="C207" s="2" t="s">
        <v>835</v>
      </c>
      <c r="D207" s="2" t="s">
        <v>281</v>
      </c>
      <c r="E207" s="2" t="s">
        <v>379</v>
      </c>
      <c r="F207" s="2" t="s">
        <v>836</v>
      </c>
      <c r="G207" s="2" t="s">
        <v>837</v>
      </c>
      <c r="H207" s="2" t="s">
        <v>41</v>
      </c>
      <c r="I207" s="2" t="s">
        <v>219</v>
      </c>
      <c r="J207" s="2" t="s">
        <v>694</v>
      </c>
      <c r="K207" s="2" t="s">
        <v>838</v>
      </c>
    </row>
    <row r="208" customFormat="false" ht="15" hidden="false" customHeight="false" outlineLevel="0" collapsed="false">
      <c r="C208" s="2" t="s">
        <v>839</v>
      </c>
      <c r="D208" s="2" t="s">
        <v>37</v>
      </c>
      <c r="E208" s="2" t="s">
        <v>840</v>
      </c>
      <c r="F208" s="2" t="s">
        <v>841</v>
      </c>
      <c r="G208" s="2" t="s">
        <v>842</v>
      </c>
      <c r="H208" s="2" t="s">
        <v>41</v>
      </c>
      <c r="I208" s="2" t="s">
        <v>219</v>
      </c>
      <c r="J208" s="2" t="s">
        <v>443</v>
      </c>
      <c r="K208" s="2" t="s">
        <v>843</v>
      </c>
    </row>
    <row r="209" customFormat="false" ht="15" hidden="false" customHeight="false" outlineLevel="0" collapsed="false">
      <c r="A209" s="2" t="s">
        <v>844</v>
      </c>
    </row>
    <row r="211" customFormat="false" ht="15" hidden="false" customHeight="false" outlineLevel="0" collapsed="false">
      <c r="A211" s="2" t="s">
        <v>17</v>
      </c>
      <c r="G211" s="2" t="s">
        <v>261</v>
      </c>
    </row>
    <row r="212" customFormat="false" ht="15" hidden="false" customHeight="false" outlineLevel="0" collapsed="false">
      <c r="A212" s="2" t="s">
        <v>22</v>
      </c>
      <c r="B212" s="2" t="s">
        <v>23</v>
      </c>
      <c r="C212" s="2" t="s">
        <v>24</v>
      </c>
      <c r="D212" s="2" t="s">
        <v>25</v>
      </c>
      <c r="E212" s="2" t="s">
        <v>26</v>
      </c>
      <c r="F212" s="2" t="s">
        <v>27</v>
      </c>
      <c r="G212" s="2" t="s">
        <v>28</v>
      </c>
      <c r="H212" s="2" t="s">
        <v>29</v>
      </c>
      <c r="I212" s="2" t="s">
        <v>30</v>
      </c>
      <c r="J212" s="2" t="s">
        <v>31</v>
      </c>
      <c r="K212" s="2" t="s">
        <v>32</v>
      </c>
      <c r="L212" s="2" t="s">
        <v>33</v>
      </c>
    </row>
    <row r="213" customFormat="false" ht="15" hidden="false" customHeight="false" outlineLevel="0" collapsed="false">
      <c r="C213" s="2" t="s">
        <v>845</v>
      </c>
      <c r="D213" s="2" t="s">
        <v>37</v>
      </c>
      <c r="E213" s="2" t="s">
        <v>134</v>
      </c>
      <c r="F213" s="2" t="s">
        <v>120</v>
      </c>
      <c r="G213" s="2" t="s">
        <v>846</v>
      </c>
      <c r="H213" s="2" t="s">
        <v>41</v>
      </c>
      <c r="I213" s="2" t="s">
        <v>442</v>
      </c>
      <c r="J213" s="2" t="s">
        <v>443</v>
      </c>
      <c r="K213" s="2" t="s">
        <v>847</v>
      </c>
    </row>
    <row r="214" customFormat="false" ht="15" hidden="false" customHeight="false" outlineLevel="0" collapsed="false">
      <c r="C214" s="2" t="s">
        <v>848</v>
      </c>
      <c r="D214" s="2" t="s">
        <v>281</v>
      </c>
      <c r="E214" s="2" t="s">
        <v>849</v>
      </c>
      <c r="F214" s="2" t="s">
        <v>850</v>
      </c>
      <c r="G214" s="2" t="s">
        <v>851</v>
      </c>
      <c r="H214" s="2" t="s">
        <v>41</v>
      </c>
      <c r="I214" s="2" t="s">
        <v>442</v>
      </c>
      <c r="J214" s="2" t="s">
        <v>443</v>
      </c>
      <c r="K214" s="2" t="s">
        <v>852</v>
      </c>
    </row>
    <row r="215" customFormat="false" ht="15" hidden="false" customHeight="false" outlineLevel="0" collapsed="false">
      <c r="C215" s="2" t="s">
        <v>853</v>
      </c>
      <c r="D215" s="2" t="s">
        <v>37</v>
      </c>
      <c r="E215" s="2" t="s">
        <v>105</v>
      </c>
      <c r="F215" s="2" t="s">
        <v>854</v>
      </c>
      <c r="G215" s="2" t="s">
        <v>855</v>
      </c>
      <c r="H215" s="2" t="s">
        <v>54</v>
      </c>
      <c r="I215" s="2" t="s">
        <v>417</v>
      </c>
      <c r="J215" s="2" t="s">
        <v>137</v>
      </c>
    </row>
    <row r="216" customFormat="false" ht="15" hidden="false" customHeight="false" outlineLevel="0" collapsed="false">
      <c r="C216" s="2" t="s">
        <v>856</v>
      </c>
      <c r="D216" s="2" t="s">
        <v>37</v>
      </c>
      <c r="E216" s="2" t="s">
        <v>83</v>
      </c>
      <c r="F216" s="2" t="s">
        <v>857</v>
      </c>
      <c r="G216" s="2" t="s">
        <v>858</v>
      </c>
      <c r="H216" s="2" t="s">
        <v>236</v>
      </c>
      <c r="I216" s="2" t="s">
        <v>417</v>
      </c>
      <c r="J216" s="2" t="s">
        <v>55</v>
      </c>
      <c r="K216" s="2" t="s">
        <v>859</v>
      </c>
    </row>
    <row r="217" customFormat="false" ht="15" hidden="false" customHeight="false" outlineLevel="0" collapsed="false">
      <c r="C217" s="2" t="s">
        <v>860</v>
      </c>
      <c r="D217" s="2" t="s">
        <v>37</v>
      </c>
      <c r="E217" s="2" t="s">
        <v>432</v>
      </c>
      <c r="F217" s="2" t="s">
        <v>433</v>
      </c>
      <c r="G217" s="2" t="s">
        <v>861</v>
      </c>
      <c r="H217" s="2" t="s">
        <v>41</v>
      </c>
      <c r="I217" s="2" t="s">
        <v>219</v>
      </c>
      <c r="J217" s="2" t="s">
        <v>137</v>
      </c>
      <c r="K217" s="2" t="s">
        <v>862</v>
      </c>
    </row>
    <row r="218" customFormat="false" ht="15" hidden="false" customHeight="false" outlineLevel="0" collapsed="false">
      <c r="C218" s="2" t="s">
        <v>863</v>
      </c>
      <c r="D218" s="2" t="s">
        <v>171</v>
      </c>
      <c r="E218" s="2" t="s">
        <v>233</v>
      </c>
      <c r="F218" s="2" t="s">
        <v>607</v>
      </c>
      <c r="G218" s="2" t="s">
        <v>864</v>
      </c>
      <c r="H218" s="2" t="s">
        <v>41</v>
      </c>
      <c r="I218" s="2" t="s">
        <v>865</v>
      </c>
      <c r="J218" s="2" t="s">
        <v>728</v>
      </c>
      <c r="K218" s="2" t="s">
        <v>866</v>
      </c>
    </row>
    <row r="219" customFormat="false" ht="15" hidden="false" customHeight="false" outlineLevel="0" collapsed="false">
      <c r="C219" s="2" t="s">
        <v>867</v>
      </c>
      <c r="D219" s="2" t="s">
        <v>344</v>
      </c>
      <c r="E219" s="2" t="s">
        <v>114</v>
      </c>
      <c r="G219" s="2" t="s">
        <v>868</v>
      </c>
      <c r="H219" s="2" t="s">
        <v>41</v>
      </c>
      <c r="J219" s="2" t="s">
        <v>332</v>
      </c>
      <c r="K219" s="2" t="s">
        <v>226</v>
      </c>
    </row>
    <row r="220" customFormat="false" ht="15" hidden="false" customHeight="false" outlineLevel="0" collapsed="false">
      <c r="C220" s="2" t="s">
        <v>869</v>
      </c>
      <c r="D220" s="2" t="s">
        <v>37</v>
      </c>
      <c r="E220" s="2" t="s">
        <v>870</v>
      </c>
      <c r="F220" s="2" t="s">
        <v>871</v>
      </c>
      <c r="G220" s="2" t="s">
        <v>872</v>
      </c>
      <c r="H220" s="2" t="s">
        <v>41</v>
      </c>
      <c r="I220" s="2" t="s">
        <v>442</v>
      </c>
      <c r="J220" s="2" t="s">
        <v>321</v>
      </c>
      <c r="K220" s="2" t="s">
        <v>873</v>
      </c>
    </row>
    <row r="221" customFormat="false" ht="15" hidden="false" customHeight="false" outlineLevel="0" collapsed="false">
      <c r="C221" s="2" t="s">
        <v>874</v>
      </c>
      <c r="D221" s="2" t="s">
        <v>46</v>
      </c>
      <c r="E221" s="2" t="s">
        <v>298</v>
      </c>
      <c r="G221" s="2" t="s">
        <v>875</v>
      </c>
      <c r="H221" s="2" t="s">
        <v>41</v>
      </c>
      <c r="J221" s="2" t="s">
        <v>137</v>
      </c>
    </row>
    <row r="222" customFormat="false" ht="15" hidden="false" customHeight="false" outlineLevel="0" collapsed="false">
      <c r="C222" s="2" t="s">
        <v>876</v>
      </c>
      <c r="D222" s="2" t="s">
        <v>37</v>
      </c>
      <c r="E222" s="2" t="s">
        <v>606</v>
      </c>
      <c r="F222" s="2" t="s">
        <v>877</v>
      </c>
      <c r="G222" s="2" t="s">
        <v>878</v>
      </c>
      <c r="H222" s="2" t="s">
        <v>41</v>
      </c>
      <c r="I222" s="2" t="s">
        <v>219</v>
      </c>
      <c r="J222" s="2" t="s">
        <v>137</v>
      </c>
      <c r="K222" s="2" t="s">
        <v>879</v>
      </c>
    </row>
    <row r="223" customFormat="false" ht="15" hidden="false" customHeight="false" outlineLevel="0" collapsed="false">
      <c r="C223" s="2" t="s">
        <v>124</v>
      </c>
      <c r="G223" s="2" t="s">
        <v>880</v>
      </c>
      <c r="H223" s="2" t="s">
        <v>41</v>
      </c>
    </row>
    <row r="225" customFormat="false" ht="15" hidden="false" customHeight="false" outlineLevel="0" collapsed="false">
      <c r="A225" s="2" t="s">
        <v>881</v>
      </c>
      <c r="B225" s="2" t="s">
        <v>882</v>
      </c>
      <c r="C225" s="2" t="s">
        <v>883</v>
      </c>
      <c r="D225" s="2" t="s">
        <v>37</v>
      </c>
      <c r="E225" s="2" t="s">
        <v>884</v>
      </c>
      <c r="F225" s="2" t="s">
        <v>105</v>
      </c>
      <c r="G225" s="2" t="s">
        <v>885</v>
      </c>
      <c r="H225" s="2" t="s">
        <v>41</v>
      </c>
      <c r="I225" s="2" t="s">
        <v>96</v>
      </c>
      <c r="J225" s="2" t="s">
        <v>68</v>
      </c>
      <c r="K225" s="2" t="s">
        <v>886</v>
      </c>
    </row>
    <row r="226" customFormat="false" ht="15" hidden="false" customHeight="false" outlineLevel="0" collapsed="false">
      <c r="C226" s="2" t="s">
        <v>124</v>
      </c>
      <c r="G226" s="2" t="s">
        <v>885</v>
      </c>
      <c r="H226" s="2" t="s">
        <v>41</v>
      </c>
    </row>
    <row r="227" customFormat="false" ht="15" hidden="false" customHeight="false" outlineLevel="0" collapsed="false">
      <c r="A227" s="2" t="s">
        <v>887</v>
      </c>
      <c r="B227" s="2" t="s">
        <v>888</v>
      </c>
      <c r="C227" s="2" t="s">
        <v>889</v>
      </c>
      <c r="D227" s="2" t="s">
        <v>37</v>
      </c>
      <c r="E227" s="2" t="s">
        <v>890</v>
      </c>
      <c r="F227" s="2" t="s">
        <v>891</v>
      </c>
      <c r="G227" s="2" t="s">
        <v>892</v>
      </c>
      <c r="H227" s="2" t="s">
        <v>41</v>
      </c>
      <c r="I227" s="2" t="s">
        <v>417</v>
      </c>
      <c r="J227" s="2" t="s">
        <v>571</v>
      </c>
      <c r="K227" s="2" t="s">
        <v>893</v>
      </c>
    </row>
    <row r="228" customFormat="false" ht="15" hidden="false" customHeight="false" outlineLevel="0" collapsed="false">
      <c r="C228" s="2" t="s">
        <v>894</v>
      </c>
      <c r="D228" s="2" t="s">
        <v>274</v>
      </c>
      <c r="E228" s="2" t="s">
        <v>143</v>
      </c>
      <c r="F228" s="2" t="s">
        <v>432</v>
      </c>
      <c r="G228" s="2" t="s">
        <v>895</v>
      </c>
      <c r="H228" s="2" t="s">
        <v>41</v>
      </c>
      <c r="I228" s="2" t="s">
        <v>417</v>
      </c>
      <c r="J228" s="2" t="s">
        <v>571</v>
      </c>
      <c r="K228" s="2" t="s">
        <v>896</v>
      </c>
    </row>
    <row r="229" customFormat="false" ht="15" hidden="false" customHeight="false" outlineLevel="0" collapsed="false">
      <c r="C229" s="2" t="s">
        <v>897</v>
      </c>
      <c r="D229" s="2" t="s">
        <v>37</v>
      </c>
      <c r="E229" s="2" t="s">
        <v>898</v>
      </c>
      <c r="F229" s="2" t="s">
        <v>94</v>
      </c>
      <c r="G229" s="2" t="s">
        <v>899</v>
      </c>
      <c r="H229" s="2" t="s">
        <v>41</v>
      </c>
      <c r="I229" s="2" t="s">
        <v>417</v>
      </c>
      <c r="J229" s="2" t="s">
        <v>571</v>
      </c>
    </row>
    <row r="230" customFormat="false" ht="15" hidden="false" customHeight="false" outlineLevel="0" collapsed="false">
      <c r="C230" s="2" t="s">
        <v>900</v>
      </c>
      <c r="D230" s="2" t="s">
        <v>37</v>
      </c>
      <c r="E230" s="2" t="s">
        <v>275</v>
      </c>
      <c r="F230" s="2" t="s">
        <v>293</v>
      </c>
      <c r="G230" s="2" t="s">
        <v>901</v>
      </c>
      <c r="H230" s="2" t="s">
        <v>41</v>
      </c>
      <c r="I230" s="2" t="s">
        <v>219</v>
      </c>
      <c r="J230" s="2" t="s">
        <v>902</v>
      </c>
      <c r="K230" s="2" t="s">
        <v>903</v>
      </c>
    </row>
    <row r="231" customFormat="false" ht="15" hidden="false" customHeight="false" outlineLevel="0" collapsed="false">
      <c r="C231" s="2" t="s">
        <v>904</v>
      </c>
      <c r="D231" s="2" t="s">
        <v>37</v>
      </c>
      <c r="E231" s="2" t="s">
        <v>905</v>
      </c>
      <c r="F231" s="2" t="s">
        <v>233</v>
      </c>
      <c r="G231" s="2" t="s">
        <v>906</v>
      </c>
      <c r="H231" s="2" t="s">
        <v>41</v>
      </c>
      <c r="I231" s="2" t="s">
        <v>175</v>
      </c>
      <c r="J231" s="2" t="s">
        <v>609</v>
      </c>
    </row>
    <row r="232" customFormat="false" ht="15" hidden="false" customHeight="false" outlineLevel="0" collapsed="false">
      <c r="C232" s="2" t="s">
        <v>907</v>
      </c>
      <c r="D232" s="2" t="s">
        <v>46</v>
      </c>
      <c r="E232" s="2" t="s">
        <v>884</v>
      </c>
      <c r="F232" s="2" t="s">
        <v>884</v>
      </c>
      <c r="G232" s="2" t="s">
        <v>908</v>
      </c>
      <c r="H232" s="2" t="s">
        <v>41</v>
      </c>
      <c r="I232" s="2" t="s">
        <v>225</v>
      </c>
      <c r="J232" s="2" t="s">
        <v>332</v>
      </c>
    </row>
    <row r="233" customFormat="false" ht="15" hidden="false" customHeight="false" outlineLevel="0" collapsed="false">
      <c r="C233" s="2" t="s">
        <v>909</v>
      </c>
      <c r="D233" s="2" t="s">
        <v>37</v>
      </c>
      <c r="E233" s="2" t="s">
        <v>910</v>
      </c>
      <c r="F233" s="2" t="s">
        <v>911</v>
      </c>
      <c r="G233" s="2" t="s">
        <v>912</v>
      </c>
      <c r="H233" s="2" t="s">
        <v>41</v>
      </c>
      <c r="I233" s="2" t="s">
        <v>417</v>
      </c>
      <c r="J233" s="2" t="s">
        <v>571</v>
      </c>
      <c r="K233" s="2" t="s">
        <v>913</v>
      </c>
    </row>
    <row r="234" customFormat="false" ht="15" hidden="false" customHeight="false" outlineLevel="0" collapsed="false">
      <c r="C234" s="2" t="s">
        <v>914</v>
      </c>
      <c r="D234" s="2" t="s">
        <v>37</v>
      </c>
      <c r="E234" s="2" t="s">
        <v>114</v>
      </c>
      <c r="F234" s="2" t="s">
        <v>602</v>
      </c>
      <c r="G234" s="2" t="s">
        <v>915</v>
      </c>
      <c r="H234" s="2" t="s">
        <v>41</v>
      </c>
      <c r="I234" s="2" t="s">
        <v>442</v>
      </c>
      <c r="J234" s="2" t="s">
        <v>571</v>
      </c>
    </row>
    <row r="235" customFormat="false" ht="15" hidden="false" customHeight="false" outlineLevel="0" collapsed="false">
      <c r="C235" s="2" t="s">
        <v>916</v>
      </c>
      <c r="D235" s="2" t="s">
        <v>917</v>
      </c>
      <c r="E235" s="2" t="s">
        <v>304</v>
      </c>
      <c r="F235" s="2" t="s">
        <v>304</v>
      </c>
      <c r="G235" s="2" t="s">
        <v>918</v>
      </c>
      <c r="H235" s="2" t="s">
        <v>41</v>
      </c>
      <c r="I235" s="2" t="s">
        <v>225</v>
      </c>
      <c r="J235" s="2" t="s">
        <v>609</v>
      </c>
    </row>
    <row r="236" customFormat="false" ht="15" hidden="false" customHeight="false" outlineLevel="0" collapsed="false">
      <c r="C236" s="2" t="s">
        <v>919</v>
      </c>
      <c r="D236" s="2" t="s">
        <v>37</v>
      </c>
      <c r="E236" s="2" t="s">
        <v>920</v>
      </c>
      <c r="F236" s="2" t="s">
        <v>921</v>
      </c>
      <c r="G236" s="2" t="s">
        <v>922</v>
      </c>
      <c r="H236" s="2" t="s">
        <v>41</v>
      </c>
      <c r="I236" s="2" t="s">
        <v>417</v>
      </c>
      <c r="J236" s="2" t="s">
        <v>571</v>
      </c>
      <c r="K236" s="2" t="s">
        <v>923</v>
      </c>
    </row>
    <row r="237" customFormat="false" ht="15" hidden="false" customHeight="false" outlineLevel="0" collapsed="false">
      <c r="C237" s="2" t="s">
        <v>924</v>
      </c>
      <c r="D237" s="2" t="s">
        <v>37</v>
      </c>
      <c r="E237" s="2" t="s">
        <v>606</v>
      </c>
      <c r="F237" s="2" t="s">
        <v>877</v>
      </c>
      <c r="G237" s="2" t="s">
        <v>925</v>
      </c>
      <c r="H237" s="2" t="s">
        <v>41</v>
      </c>
      <c r="I237" s="2" t="s">
        <v>803</v>
      </c>
      <c r="J237" s="2" t="s">
        <v>571</v>
      </c>
      <c r="K237" s="2" t="s">
        <v>926</v>
      </c>
    </row>
    <row r="238" customFormat="false" ht="15" hidden="false" customHeight="false" outlineLevel="0" collapsed="false">
      <c r="C238" s="2" t="s">
        <v>124</v>
      </c>
      <c r="G238" s="2" t="s">
        <v>927</v>
      </c>
      <c r="H238" s="2" t="s">
        <v>41</v>
      </c>
    </row>
    <row r="240" customFormat="false" ht="15" hidden="false" customHeight="false" outlineLevel="0" collapsed="false">
      <c r="A240" s="2" t="s">
        <v>928</v>
      </c>
      <c r="B240" s="2" t="s">
        <v>929</v>
      </c>
      <c r="C240" s="2" t="s">
        <v>930</v>
      </c>
      <c r="D240" s="2" t="s">
        <v>37</v>
      </c>
      <c r="E240" s="2" t="s">
        <v>931</v>
      </c>
      <c r="F240" s="2" t="s">
        <v>932</v>
      </c>
      <c r="G240" s="2" t="s">
        <v>933</v>
      </c>
      <c r="H240" s="2" t="s">
        <v>41</v>
      </c>
      <c r="I240" s="2" t="s">
        <v>161</v>
      </c>
      <c r="J240" s="2" t="s">
        <v>301</v>
      </c>
    </row>
    <row r="241" customFormat="false" ht="15" hidden="false" customHeight="false" outlineLevel="0" collapsed="false">
      <c r="C241" s="2" t="s">
        <v>934</v>
      </c>
      <c r="D241" s="2" t="s">
        <v>37</v>
      </c>
      <c r="E241" s="2" t="s">
        <v>935</v>
      </c>
      <c r="G241" s="2" t="s">
        <v>936</v>
      </c>
      <c r="H241" s="2" t="s">
        <v>41</v>
      </c>
      <c r="I241" s="2" t="s">
        <v>175</v>
      </c>
      <c r="J241" s="2" t="s">
        <v>162</v>
      </c>
    </row>
    <row r="242" customFormat="false" ht="15" hidden="false" customHeight="false" outlineLevel="0" collapsed="false">
      <c r="C242" s="2" t="s">
        <v>937</v>
      </c>
      <c r="D242" s="2" t="s">
        <v>37</v>
      </c>
      <c r="E242" s="2" t="s">
        <v>938</v>
      </c>
      <c r="F242" s="2" t="s">
        <v>458</v>
      </c>
      <c r="G242" s="2" t="s">
        <v>939</v>
      </c>
      <c r="H242" s="2" t="s">
        <v>236</v>
      </c>
      <c r="I242" s="2" t="s">
        <v>245</v>
      </c>
      <c r="J242" s="2" t="s">
        <v>940</v>
      </c>
    </row>
    <row r="243" customFormat="false" ht="15" hidden="false" customHeight="false" outlineLevel="0" collapsed="false">
      <c r="C243" s="2" t="s">
        <v>941</v>
      </c>
      <c r="D243" s="2" t="s">
        <v>37</v>
      </c>
      <c r="E243" s="2" t="s">
        <v>942</v>
      </c>
      <c r="F243" s="2" t="s">
        <v>268</v>
      </c>
      <c r="G243" s="2" t="s">
        <v>943</v>
      </c>
      <c r="H243" s="2" t="s">
        <v>41</v>
      </c>
      <c r="I243" s="2" t="s">
        <v>245</v>
      </c>
      <c r="J243" s="2" t="s">
        <v>290</v>
      </c>
      <c r="K243" s="2" t="s">
        <v>944</v>
      </c>
      <c r="L243" s="2" t="s">
        <v>945</v>
      </c>
    </row>
    <row r="244" customFormat="false" ht="15" hidden="false" customHeight="false" outlineLevel="0" collapsed="false">
      <c r="C244" s="2" t="s">
        <v>946</v>
      </c>
      <c r="D244" s="2" t="s">
        <v>37</v>
      </c>
      <c r="E244" s="2" t="s">
        <v>726</v>
      </c>
      <c r="F244" s="2" t="s">
        <v>65</v>
      </c>
      <c r="G244" s="2" t="s">
        <v>947</v>
      </c>
      <c r="H244" s="2" t="s">
        <v>236</v>
      </c>
      <c r="I244" s="2" t="s">
        <v>219</v>
      </c>
      <c r="J244" s="2" t="s">
        <v>258</v>
      </c>
      <c r="K244" s="2" t="s">
        <v>948</v>
      </c>
    </row>
    <row r="245" customFormat="false" ht="15" hidden="false" customHeight="false" outlineLevel="0" collapsed="false">
      <c r="C245" s="2" t="s">
        <v>949</v>
      </c>
      <c r="D245" s="2" t="s">
        <v>37</v>
      </c>
      <c r="E245" s="2" t="s">
        <v>950</v>
      </c>
      <c r="F245" s="2" t="s">
        <v>951</v>
      </c>
      <c r="G245" s="2" t="s">
        <v>952</v>
      </c>
      <c r="I245" s="2" t="s">
        <v>161</v>
      </c>
      <c r="J245" s="2" t="s">
        <v>162</v>
      </c>
      <c r="K245" s="2" t="s">
        <v>953</v>
      </c>
      <c r="L245" s="2" t="s">
        <v>954</v>
      </c>
    </row>
    <row r="246" customFormat="false" ht="15" hidden="false" customHeight="false" outlineLevel="0" collapsed="false">
      <c r="C246" s="2" t="s">
        <v>955</v>
      </c>
      <c r="D246" s="2" t="s">
        <v>37</v>
      </c>
      <c r="E246" s="2" t="s">
        <v>956</v>
      </c>
      <c r="F246" s="2" t="s">
        <v>650</v>
      </c>
      <c r="G246" s="2" t="s">
        <v>957</v>
      </c>
      <c r="H246" s="2" t="s">
        <v>41</v>
      </c>
      <c r="I246" s="2" t="s">
        <v>245</v>
      </c>
      <c r="J246" s="2" t="s">
        <v>162</v>
      </c>
      <c r="K246" s="2" t="s">
        <v>958</v>
      </c>
      <c r="L246" s="2" t="s">
        <v>959</v>
      </c>
    </row>
    <row r="247" customFormat="false" ht="15" hidden="false" customHeight="false" outlineLevel="0" collapsed="false">
      <c r="C247" s="2" t="s">
        <v>960</v>
      </c>
      <c r="D247" s="2" t="s">
        <v>37</v>
      </c>
      <c r="E247" s="2" t="s">
        <v>840</v>
      </c>
      <c r="F247" s="2" t="s">
        <v>357</v>
      </c>
      <c r="G247" s="2" t="s">
        <v>961</v>
      </c>
      <c r="H247" s="2" t="s">
        <v>41</v>
      </c>
      <c r="I247" s="2" t="s">
        <v>175</v>
      </c>
      <c r="J247" s="2" t="s">
        <v>258</v>
      </c>
      <c r="K247" s="2" t="s">
        <v>962</v>
      </c>
    </row>
    <row r="248" customFormat="false" ht="15" hidden="false" customHeight="false" outlineLevel="0" collapsed="false">
      <c r="C248" s="2" t="s">
        <v>963</v>
      </c>
      <c r="D248" s="2" t="s">
        <v>37</v>
      </c>
      <c r="E248" s="2" t="s">
        <v>777</v>
      </c>
      <c r="F248" s="2" t="s">
        <v>964</v>
      </c>
      <c r="G248" s="2" t="s">
        <v>965</v>
      </c>
      <c r="H248" s="2" t="s">
        <v>41</v>
      </c>
      <c r="I248" s="2" t="s">
        <v>213</v>
      </c>
      <c r="J248" s="2" t="s">
        <v>162</v>
      </c>
      <c r="K248" s="2" t="s">
        <v>966</v>
      </c>
    </row>
    <row r="249" customFormat="false" ht="15" hidden="false" customHeight="false" outlineLevel="0" collapsed="false">
      <c r="C249" s="2" t="s">
        <v>967</v>
      </c>
      <c r="D249" s="2" t="s">
        <v>37</v>
      </c>
      <c r="E249" s="2" t="s">
        <v>968</v>
      </c>
      <c r="G249" s="2" t="s">
        <v>969</v>
      </c>
      <c r="H249" s="2" t="s">
        <v>41</v>
      </c>
      <c r="J249" s="2" t="s">
        <v>290</v>
      </c>
      <c r="K249" s="2" t="s">
        <v>970</v>
      </c>
    </row>
    <row r="250" customFormat="false" ht="15" hidden="false" customHeight="false" outlineLevel="0" collapsed="false">
      <c r="C250" s="2" t="s">
        <v>971</v>
      </c>
      <c r="D250" s="2" t="s">
        <v>37</v>
      </c>
      <c r="E250" s="2" t="s">
        <v>972</v>
      </c>
      <c r="F250" s="2" t="s">
        <v>973</v>
      </c>
      <c r="G250" s="2" t="s">
        <v>974</v>
      </c>
      <c r="H250" s="2" t="s">
        <v>41</v>
      </c>
      <c r="I250" s="2" t="s">
        <v>42</v>
      </c>
      <c r="J250" s="2" t="s">
        <v>278</v>
      </c>
    </row>
    <row r="251" customFormat="false" ht="15" hidden="false" customHeight="false" outlineLevel="0" collapsed="false">
      <c r="C251" s="2" t="s">
        <v>124</v>
      </c>
      <c r="G251" s="2" t="s">
        <v>975</v>
      </c>
      <c r="H251" s="2" t="s">
        <v>41</v>
      </c>
    </row>
    <row r="253" customFormat="false" ht="15" hidden="false" customHeight="false" outlineLevel="0" collapsed="false">
      <c r="A253" s="2" t="s">
        <v>976</v>
      </c>
      <c r="B253" s="2" t="s">
        <v>977</v>
      </c>
      <c r="C253" s="2" t="s">
        <v>978</v>
      </c>
      <c r="D253" s="2" t="s">
        <v>37</v>
      </c>
      <c r="E253" s="2" t="s">
        <v>979</v>
      </c>
      <c r="F253" s="2" t="s">
        <v>980</v>
      </c>
      <c r="G253" s="2" t="s">
        <v>981</v>
      </c>
      <c r="H253" s="2" t="s">
        <v>41</v>
      </c>
      <c r="I253" s="2" t="s">
        <v>161</v>
      </c>
      <c r="J253" s="2" t="s">
        <v>43</v>
      </c>
      <c r="K253" s="2" t="s">
        <v>982</v>
      </c>
    </row>
    <row r="254" customFormat="false" ht="15" hidden="false" customHeight="false" outlineLevel="0" collapsed="false">
      <c r="C254" s="2" t="s">
        <v>983</v>
      </c>
      <c r="D254" s="2" t="s">
        <v>37</v>
      </c>
      <c r="E254" s="2" t="s">
        <v>984</v>
      </c>
      <c r="F254" s="2" t="s">
        <v>985</v>
      </c>
      <c r="G254" s="2" t="s">
        <v>986</v>
      </c>
      <c r="H254" s="2" t="s">
        <v>41</v>
      </c>
      <c r="I254" s="2" t="s">
        <v>336</v>
      </c>
      <c r="J254" s="2" t="s">
        <v>90</v>
      </c>
    </row>
    <row r="255" customFormat="false" ht="15" hidden="false" customHeight="false" outlineLevel="0" collapsed="false">
      <c r="C255" s="2" t="s">
        <v>987</v>
      </c>
      <c r="D255" s="2" t="s">
        <v>385</v>
      </c>
      <c r="E255" s="2" t="s">
        <v>582</v>
      </c>
      <c r="F255" s="2" t="s">
        <v>582</v>
      </c>
      <c r="G255" s="2" t="s">
        <v>988</v>
      </c>
      <c r="H255" s="2" t="s">
        <v>41</v>
      </c>
      <c r="J255" s="2" t="s">
        <v>43</v>
      </c>
      <c r="K255" s="2" t="s">
        <v>989</v>
      </c>
    </row>
    <row r="256" customFormat="false" ht="15" hidden="false" customHeight="false" outlineLevel="0" collapsed="false">
      <c r="C256" s="2" t="s">
        <v>124</v>
      </c>
      <c r="G256" s="2" t="s">
        <v>990</v>
      </c>
      <c r="H256" s="2" t="s">
        <v>41</v>
      </c>
    </row>
    <row r="258" customFormat="false" ht="15" hidden="false" customHeight="false" outlineLevel="0" collapsed="false">
      <c r="A258" s="2" t="s">
        <v>991</v>
      </c>
      <c r="B258" s="2" t="s">
        <v>992</v>
      </c>
      <c r="C258" s="2" t="s">
        <v>993</v>
      </c>
      <c r="D258" s="2" t="s">
        <v>37</v>
      </c>
      <c r="E258" s="2" t="s">
        <v>994</v>
      </c>
      <c r="F258" s="2" t="s">
        <v>995</v>
      </c>
      <c r="G258" s="2" t="s">
        <v>996</v>
      </c>
      <c r="H258" s="2" t="s">
        <v>41</v>
      </c>
      <c r="I258" s="2" t="s">
        <v>42</v>
      </c>
      <c r="J258" s="2" t="s">
        <v>443</v>
      </c>
      <c r="K258" s="2" t="s">
        <v>997</v>
      </c>
    </row>
    <row r="259" customFormat="false" ht="15" hidden="false" customHeight="false" outlineLevel="0" collapsed="false">
      <c r="C259" s="2" t="s">
        <v>998</v>
      </c>
      <c r="D259" s="2" t="s">
        <v>37</v>
      </c>
      <c r="E259" s="2" t="s">
        <v>999</v>
      </c>
      <c r="F259" s="2" t="s">
        <v>1000</v>
      </c>
      <c r="G259" s="2" t="s">
        <v>1001</v>
      </c>
      <c r="H259" s="2" t="s">
        <v>41</v>
      </c>
      <c r="I259" s="2" t="s">
        <v>67</v>
      </c>
      <c r="K259" s="2" t="s">
        <v>1002</v>
      </c>
      <c r="L259" s="2" t="s">
        <v>624</v>
      </c>
    </row>
    <row r="260" customFormat="false" ht="15" hidden="false" customHeight="false" outlineLevel="0" collapsed="false">
      <c r="C260" s="2" t="s">
        <v>1003</v>
      </c>
      <c r="D260" s="2" t="s">
        <v>37</v>
      </c>
      <c r="E260" s="2" t="s">
        <v>1004</v>
      </c>
      <c r="F260" s="2" t="s">
        <v>1005</v>
      </c>
      <c r="G260" s="2" t="s">
        <v>1006</v>
      </c>
      <c r="H260" s="2" t="s">
        <v>41</v>
      </c>
      <c r="I260" s="2" t="s">
        <v>67</v>
      </c>
      <c r="J260" s="2" t="s">
        <v>137</v>
      </c>
      <c r="K260" s="2" t="s">
        <v>1007</v>
      </c>
    </row>
    <row r="261" customFormat="false" ht="15" hidden="false" customHeight="false" outlineLevel="0" collapsed="false">
      <c r="A261" s="2" t="s">
        <v>1008</v>
      </c>
    </row>
    <row r="263" customFormat="false" ht="15" hidden="false" customHeight="false" outlineLevel="0" collapsed="false">
      <c r="A263" s="2" t="s">
        <v>17</v>
      </c>
      <c r="G263" s="2" t="s">
        <v>261</v>
      </c>
    </row>
    <row r="264" customFormat="false" ht="15" hidden="false" customHeight="false" outlineLevel="0" collapsed="false">
      <c r="A264" s="2" t="s">
        <v>22</v>
      </c>
      <c r="B264" s="2" t="s">
        <v>23</v>
      </c>
      <c r="C264" s="2" t="s">
        <v>24</v>
      </c>
      <c r="D264" s="2" t="s">
        <v>25</v>
      </c>
      <c r="E264" s="2" t="s">
        <v>26</v>
      </c>
      <c r="F264" s="2" t="s">
        <v>27</v>
      </c>
      <c r="G264" s="2" t="s">
        <v>28</v>
      </c>
      <c r="H264" s="2" t="s">
        <v>29</v>
      </c>
      <c r="I264" s="2" t="s">
        <v>30</v>
      </c>
      <c r="J264" s="2" t="s">
        <v>31</v>
      </c>
      <c r="K264" s="2" t="s">
        <v>32</v>
      </c>
      <c r="L264" s="2" t="s">
        <v>33</v>
      </c>
    </row>
    <row r="265" customFormat="false" ht="15" hidden="false" customHeight="false" outlineLevel="0" collapsed="false">
      <c r="A265" s="2" t="s">
        <v>991</v>
      </c>
      <c r="C265" s="2" t="s">
        <v>1003</v>
      </c>
      <c r="D265" s="2" t="s">
        <v>37</v>
      </c>
      <c r="E265" s="2" t="s">
        <v>1004</v>
      </c>
      <c r="F265" s="2" t="s">
        <v>1005</v>
      </c>
      <c r="G265" s="2" t="s">
        <v>1006</v>
      </c>
      <c r="H265" s="2" t="s">
        <v>41</v>
      </c>
      <c r="I265" s="2" t="s">
        <v>67</v>
      </c>
      <c r="J265" s="2" t="s">
        <v>137</v>
      </c>
      <c r="K265" s="2" t="s">
        <v>1007</v>
      </c>
    </row>
    <row r="266" customFormat="false" ht="15" hidden="false" customHeight="false" outlineLevel="0" collapsed="false">
      <c r="A266" s="2" t="s">
        <v>991</v>
      </c>
      <c r="C266" s="2" t="s">
        <v>1009</v>
      </c>
      <c r="D266" s="2" t="s">
        <v>37</v>
      </c>
      <c r="E266" s="2" t="s">
        <v>1010</v>
      </c>
      <c r="F266" s="2" t="s">
        <v>1011</v>
      </c>
      <c r="G266" s="2" t="s">
        <v>1012</v>
      </c>
      <c r="H266" s="2" t="s">
        <v>41</v>
      </c>
      <c r="I266" s="2" t="s">
        <v>42</v>
      </c>
      <c r="J266" s="2" t="s">
        <v>137</v>
      </c>
      <c r="K266" s="2" t="s">
        <v>1013</v>
      </c>
      <c r="L266" s="2" t="s">
        <v>954</v>
      </c>
    </row>
    <row r="267" customFormat="false" ht="15" hidden="false" customHeight="false" outlineLevel="0" collapsed="false">
      <c r="C267" s="2" t="s">
        <v>1014</v>
      </c>
      <c r="D267" s="2" t="s">
        <v>37</v>
      </c>
      <c r="E267" s="2" t="s">
        <v>422</v>
      </c>
      <c r="F267" s="2" t="s">
        <v>374</v>
      </c>
      <c r="G267" s="2" t="s">
        <v>1015</v>
      </c>
      <c r="H267" s="2" t="s">
        <v>41</v>
      </c>
      <c r="I267" s="2" t="s">
        <v>42</v>
      </c>
      <c r="J267" s="2" t="s">
        <v>132</v>
      </c>
      <c r="K267" s="2" t="s">
        <v>1016</v>
      </c>
    </row>
    <row r="268" customFormat="false" ht="15" hidden="false" customHeight="false" outlineLevel="0" collapsed="false">
      <c r="C268" s="2" t="s">
        <v>1017</v>
      </c>
      <c r="D268" s="2" t="s">
        <v>37</v>
      </c>
      <c r="E268" s="2" t="s">
        <v>82</v>
      </c>
      <c r="F268" s="2" t="s">
        <v>83</v>
      </c>
      <c r="G268" s="2" t="s">
        <v>1018</v>
      </c>
      <c r="H268" s="2" t="s">
        <v>41</v>
      </c>
      <c r="I268" s="2" t="s">
        <v>122</v>
      </c>
      <c r="J268" s="2" t="s">
        <v>43</v>
      </c>
      <c r="K268" s="2" t="s">
        <v>307</v>
      </c>
    </row>
    <row r="269" customFormat="false" ht="15" hidden="false" customHeight="false" outlineLevel="0" collapsed="false">
      <c r="C269" s="2" t="s">
        <v>124</v>
      </c>
      <c r="G269" s="2" t="s">
        <v>1019</v>
      </c>
      <c r="H269" s="2" t="s">
        <v>41</v>
      </c>
    </row>
    <row r="271" customFormat="false" ht="15" hidden="false" customHeight="false" outlineLevel="0" collapsed="false">
      <c r="A271" s="2" t="s">
        <v>1020</v>
      </c>
      <c r="B271" s="2" t="s">
        <v>1021</v>
      </c>
      <c r="C271" s="2" t="s">
        <v>1022</v>
      </c>
      <c r="D271" s="2" t="s">
        <v>37</v>
      </c>
      <c r="E271" s="2" t="s">
        <v>1023</v>
      </c>
      <c r="F271" s="2" t="s">
        <v>1024</v>
      </c>
      <c r="G271" s="2" t="s">
        <v>1025</v>
      </c>
      <c r="H271" s="2" t="s">
        <v>41</v>
      </c>
      <c r="I271" s="2" t="s">
        <v>320</v>
      </c>
      <c r="J271" s="2" t="s">
        <v>775</v>
      </c>
      <c r="K271" s="2" t="s">
        <v>1026</v>
      </c>
      <c r="L271" s="2" t="s">
        <v>645</v>
      </c>
    </row>
    <row r="272" customFormat="false" ht="15" hidden="false" customHeight="false" outlineLevel="0" collapsed="false">
      <c r="C272" s="2" t="s">
        <v>1027</v>
      </c>
      <c r="D272" s="2" t="s">
        <v>37</v>
      </c>
      <c r="E272" s="2" t="s">
        <v>1028</v>
      </c>
      <c r="F272" s="2" t="s">
        <v>109</v>
      </c>
      <c r="G272" s="2" t="s">
        <v>1029</v>
      </c>
      <c r="H272" s="2" t="s">
        <v>236</v>
      </c>
      <c r="I272" s="2" t="s">
        <v>67</v>
      </c>
      <c r="J272" s="2" t="s">
        <v>775</v>
      </c>
    </row>
    <row r="273" customFormat="false" ht="15" hidden="false" customHeight="false" outlineLevel="0" collapsed="false">
      <c r="C273" s="2" t="s">
        <v>1030</v>
      </c>
      <c r="D273" s="2" t="s">
        <v>37</v>
      </c>
      <c r="E273" s="2" t="s">
        <v>276</v>
      </c>
      <c r="F273" s="2" t="s">
        <v>392</v>
      </c>
      <c r="G273" s="2" t="s">
        <v>1031</v>
      </c>
      <c r="H273" s="2" t="s">
        <v>41</v>
      </c>
      <c r="I273" s="2" t="s">
        <v>336</v>
      </c>
      <c r="J273" s="2" t="s">
        <v>571</v>
      </c>
      <c r="K273" s="2" t="s">
        <v>1032</v>
      </c>
    </row>
    <row r="274" customFormat="false" ht="15" hidden="false" customHeight="false" outlineLevel="0" collapsed="false">
      <c r="C274" s="2" t="s">
        <v>1033</v>
      </c>
      <c r="D274" s="2" t="s">
        <v>37</v>
      </c>
      <c r="E274" s="2" t="s">
        <v>293</v>
      </c>
      <c r="F274" s="2" t="s">
        <v>1034</v>
      </c>
      <c r="G274" s="2" t="s">
        <v>1035</v>
      </c>
      <c r="H274" s="2" t="s">
        <v>41</v>
      </c>
      <c r="I274" s="2" t="s">
        <v>336</v>
      </c>
      <c r="J274" s="2" t="s">
        <v>90</v>
      </c>
      <c r="K274" s="2" t="s">
        <v>1036</v>
      </c>
    </row>
    <row r="275" customFormat="false" ht="15" hidden="false" customHeight="false" outlineLevel="0" collapsed="false">
      <c r="C275" s="2" t="s">
        <v>1037</v>
      </c>
      <c r="D275" s="2" t="s">
        <v>37</v>
      </c>
      <c r="E275" s="2" t="s">
        <v>1038</v>
      </c>
      <c r="F275" s="2" t="s">
        <v>1039</v>
      </c>
      <c r="G275" s="2" t="s">
        <v>1040</v>
      </c>
      <c r="H275" s="2" t="s">
        <v>41</v>
      </c>
      <c r="I275" s="2" t="s">
        <v>42</v>
      </c>
      <c r="J275" s="2" t="s">
        <v>193</v>
      </c>
      <c r="K275" s="2" t="s">
        <v>1041</v>
      </c>
    </row>
    <row r="276" customFormat="false" ht="15" hidden="false" customHeight="false" outlineLevel="0" collapsed="false">
      <c r="C276" s="2" t="s">
        <v>1042</v>
      </c>
      <c r="D276" s="2" t="s">
        <v>37</v>
      </c>
      <c r="E276" s="2" t="s">
        <v>357</v>
      </c>
      <c r="F276" s="2" t="s">
        <v>229</v>
      </c>
      <c r="G276" s="2" t="s">
        <v>1043</v>
      </c>
      <c r="H276" s="2" t="s">
        <v>41</v>
      </c>
      <c r="I276" s="2" t="s">
        <v>320</v>
      </c>
      <c r="J276" s="2" t="s">
        <v>571</v>
      </c>
      <c r="K276" s="2" t="s">
        <v>56</v>
      </c>
    </row>
    <row r="277" customFormat="false" ht="15" hidden="false" customHeight="false" outlineLevel="0" collapsed="false">
      <c r="C277" s="2" t="s">
        <v>124</v>
      </c>
      <c r="G277" s="2" t="s">
        <v>1044</v>
      </c>
      <c r="H277" s="2" t="s">
        <v>41</v>
      </c>
    </row>
    <row r="278" customFormat="false" ht="15" hidden="false" customHeight="false" outlineLevel="0" collapsed="false">
      <c r="A278" s="2" t="s">
        <v>1045</v>
      </c>
      <c r="B278" s="2" t="s">
        <v>1046</v>
      </c>
      <c r="C278" s="2" t="s">
        <v>1047</v>
      </c>
      <c r="D278" s="2" t="s">
        <v>37</v>
      </c>
      <c r="E278" s="2" t="s">
        <v>1048</v>
      </c>
      <c r="F278" s="2" t="s">
        <v>263</v>
      </c>
      <c r="G278" s="2" t="s">
        <v>1049</v>
      </c>
      <c r="H278" s="2" t="s">
        <v>41</v>
      </c>
      <c r="I278" s="2" t="s">
        <v>42</v>
      </c>
      <c r="J278" s="2" t="s">
        <v>502</v>
      </c>
    </row>
    <row r="279" customFormat="false" ht="15" hidden="false" customHeight="false" outlineLevel="0" collapsed="false">
      <c r="C279" s="2" t="s">
        <v>1047</v>
      </c>
      <c r="D279" s="2" t="s">
        <v>37</v>
      </c>
      <c r="E279" s="2" t="s">
        <v>1048</v>
      </c>
      <c r="F279" s="2" t="s">
        <v>263</v>
      </c>
      <c r="G279" s="2" t="s">
        <v>1049</v>
      </c>
      <c r="H279" s="2" t="s">
        <v>41</v>
      </c>
      <c r="I279" s="2" t="s">
        <v>42</v>
      </c>
      <c r="J279" s="2" t="s">
        <v>502</v>
      </c>
    </row>
    <row r="280" customFormat="false" ht="15" hidden="false" customHeight="false" outlineLevel="0" collapsed="false">
      <c r="C280" s="2" t="s">
        <v>1050</v>
      </c>
      <c r="D280" s="2" t="s">
        <v>37</v>
      </c>
      <c r="E280" s="2" t="s">
        <v>1051</v>
      </c>
      <c r="F280" s="2" t="s">
        <v>1052</v>
      </c>
      <c r="G280" s="2" t="s">
        <v>1053</v>
      </c>
      <c r="H280" s="2" t="s">
        <v>41</v>
      </c>
      <c r="I280" s="2" t="s">
        <v>122</v>
      </c>
      <c r="J280" s="2" t="s">
        <v>502</v>
      </c>
    </row>
    <row r="281" customFormat="false" ht="15" hidden="false" customHeight="false" outlineLevel="0" collapsed="false">
      <c r="C281" s="2" t="s">
        <v>1054</v>
      </c>
      <c r="D281" s="2" t="s">
        <v>37</v>
      </c>
      <c r="E281" s="2" t="s">
        <v>82</v>
      </c>
      <c r="F281" s="2" t="s">
        <v>83</v>
      </c>
      <c r="G281" s="2" t="s">
        <v>1055</v>
      </c>
      <c r="H281" s="2" t="s">
        <v>41</v>
      </c>
      <c r="I281" s="2" t="s">
        <v>42</v>
      </c>
      <c r="J281" s="2" t="s">
        <v>940</v>
      </c>
      <c r="K281" s="2" t="s">
        <v>1056</v>
      </c>
    </row>
    <row r="282" customFormat="false" ht="15" hidden="false" customHeight="false" outlineLevel="0" collapsed="false">
      <c r="C282" s="2" t="s">
        <v>1057</v>
      </c>
      <c r="D282" s="2" t="s">
        <v>129</v>
      </c>
      <c r="E282" s="2" t="s">
        <v>427</v>
      </c>
      <c r="G282" s="2" t="s">
        <v>1058</v>
      </c>
      <c r="H282" s="2" t="s">
        <v>41</v>
      </c>
      <c r="I282" s="2" t="s">
        <v>225</v>
      </c>
      <c r="J282" s="2" t="s">
        <v>940</v>
      </c>
    </row>
    <row r="283" customFormat="false" ht="15" hidden="false" customHeight="false" outlineLevel="0" collapsed="false">
      <c r="C283" s="2" t="s">
        <v>1059</v>
      </c>
      <c r="D283" s="2" t="s">
        <v>171</v>
      </c>
      <c r="E283" s="2" t="s">
        <v>339</v>
      </c>
      <c r="F283" s="2" t="s">
        <v>340</v>
      </c>
      <c r="G283" s="2" t="s">
        <v>1060</v>
      </c>
      <c r="H283" s="2" t="s">
        <v>41</v>
      </c>
      <c r="I283" s="2" t="s">
        <v>67</v>
      </c>
      <c r="J283" s="2" t="s">
        <v>902</v>
      </c>
      <c r="K283" s="2" t="s">
        <v>1061</v>
      </c>
    </row>
    <row r="284" customFormat="false" ht="15" hidden="false" customHeight="false" outlineLevel="0" collapsed="false">
      <c r="C284" s="2" t="s">
        <v>1062</v>
      </c>
      <c r="D284" s="2" t="s">
        <v>37</v>
      </c>
      <c r="E284" s="2" t="s">
        <v>304</v>
      </c>
      <c r="F284" s="2" t="s">
        <v>596</v>
      </c>
      <c r="G284" s="2" t="s">
        <v>1063</v>
      </c>
      <c r="I284" s="2" t="s">
        <v>67</v>
      </c>
      <c r="J284" s="2" t="s">
        <v>940</v>
      </c>
      <c r="K284" s="2" t="s">
        <v>1064</v>
      </c>
    </row>
    <row r="285" customFormat="false" ht="15" hidden="false" customHeight="false" outlineLevel="0" collapsed="false">
      <c r="C285" s="2" t="s">
        <v>124</v>
      </c>
      <c r="G285" s="2" t="s">
        <v>1065</v>
      </c>
      <c r="H285" s="2" t="s">
        <v>41</v>
      </c>
    </row>
    <row r="286" customFormat="false" ht="15" hidden="false" customHeight="false" outlineLevel="0" collapsed="false">
      <c r="A286" s="2" t="s">
        <v>1066</v>
      </c>
      <c r="B286" s="2" t="s">
        <v>1067</v>
      </c>
      <c r="C286" s="2" t="s">
        <v>1068</v>
      </c>
      <c r="D286" s="2" t="s">
        <v>37</v>
      </c>
      <c r="E286" s="2" t="s">
        <v>1069</v>
      </c>
      <c r="F286" s="2" t="s">
        <v>1070</v>
      </c>
      <c r="G286" s="2" t="s">
        <v>1071</v>
      </c>
      <c r="H286" s="2" t="s">
        <v>54</v>
      </c>
      <c r="I286" s="2" t="s">
        <v>67</v>
      </c>
      <c r="J286" s="2" t="s">
        <v>68</v>
      </c>
      <c r="K286" s="2" t="s">
        <v>1072</v>
      </c>
    </row>
    <row r="287" customFormat="false" ht="15" hidden="false" customHeight="false" outlineLevel="0" collapsed="false">
      <c r="C287" s="2" t="s">
        <v>1073</v>
      </c>
      <c r="D287" s="2" t="s">
        <v>222</v>
      </c>
      <c r="E287" s="2" t="s">
        <v>1074</v>
      </c>
      <c r="G287" s="2" t="s">
        <v>1075</v>
      </c>
      <c r="H287" s="2" t="s">
        <v>41</v>
      </c>
      <c r="J287" s="2" t="s">
        <v>43</v>
      </c>
    </row>
    <row r="288" customFormat="false" ht="15" hidden="false" customHeight="false" outlineLevel="0" collapsed="false">
      <c r="C288" s="2" t="s">
        <v>1076</v>
      </c>
      <c r="D288" s="2" t="s">
        <v>37</v>
      </c>
      <c r="E288" s="2" t="s">
        <v>1077</v>
      </c>
      <c r="F288" s="2" t="s">
        <v>1078</v>
      </c>
      <c r="G288" s="2" t="s">
        <v>1079</v>
      </c>
      <c r="H288" s="2" t="s">
        <v>41</v>
      </c>
      <c r="I288" s="2" t="s">
        <v>42</v>
      </c>
      <c r="J288" s="2" t="s">
        <v>68</v>
      </c>
      <c r="K288" s="2" t="s">
        <v>1080</v>
      </c>
    </row>
    <row r="289" customFormat="false" ht="15" hidden="false" customHeight="false" outlineLevel="0" collapsed="false">
      <c r="C289" s="2" t="s">
        <v>1081</v>
      </c>
      <c r="D289" s="2" t="s">
        <v>274</v>
      </c>
      <c r="E289" s="2" t="s">
        <v>1082</v>
      </c>
      <c r="F289" s="2" t="s">
        <v>1083</v>
      </c>
      <c r="G289" s="2" t="s">
        <v>1084</v>
      </c>
      <c r="H289" s="2" t="s">
        <v>41</v>
      </c>
      <c r="I289" s="2" t="s">
        <v>336</v>
      </c>
      <c r="J289" s="2" t="s">
        <v>55</v>
      </c>
      <c r="K289" s="2" t="s">
        <v>1085</v>
      </c>
    </row>
    <row r="290" customFormat="false" ht="15" hidden="false" customHeight="false" outlineLevel="0" collapsed="false">
      <c r="C290" s="2" t="s">
        <v>1086</v>
      </c>
      <c r="D290" s="2" t="s">
        <v>37</v>
      </c>
      <c r="E290" s="2" t="s">
        <v>1087</v>
      </c>
      <c r="F290" s="2" t="s">
        <v>1088</v>
      </c>
      <c r="G290" s="2" t="s">
        <v>1089</v>
      </c>
      <c r="H290" s="2" t="s">
        <v>41</v>
      </c>
      <c r="I290" s="2" t="s">
        <v>42</v>
      </c>
      <c r="J290" s="2" t="s">
        <v>49</v>
      </c>
      <c r="K290" s="2" t="s">
        <v>1090</v>
      </c>
    </row>
    <row r="291" customFormat="false" ht="15" hidden="false" customHeight="false" outlineLevel="0" collapsed="false">
      <c r="C291" s="2" t="s">
        <v>1091</v>
      </c>
      <c r="D291" s="2" t="s">
        <v>37</v>
      </c>
      <c r="E291" s="2" t="s">
        <v>504</v>
      </c>
      <c r="F291" s="2" t="s">
        <v>505</v>
      </c>
      <c r="G291" s="2" t="s">
        <v>1092</v>
      </c>
      <c r="H291" s="2" t="s">
        <v>41</v>
      </c>
      <c r="I291" s="2" t="s">
        <v>67</v>
      </c>
      <c r="J291" s="2" t="s">
        <v>55</v>
      </c>
      <c r="K291" s="2" t="s">
        <v>739</v>
      </c>
    </row>
    <row r="292" customFormat="false" ht="15" hidden="false" customHeight="false" outlineLevel="0" collapsed="false">
      <c r="C292" s="2" t="s">
        <v>1093</v>
      </c>
      <c r="D292" s="2" t="s">
        <v>37</v>
      </c>
      <c r="E292" s="2" t="s">
        <v>1094</v>
      </c>
      <c r="F292" s="2" t="s">
        <v>1095</v>
      </c>
      <c r="G292" s="2" t="s">
        <v>1096</v>
      </c>
      <c r="H292" s="2" t="s">
        <v>41</v>
      </c>
      <c r="I292" s="2" t="s">
        <v>42</v>
      </c>
      <c r="J292" s="2" t="s">
        <v>55</v>
      </c>
      <c r="K292" s="2" t="s">
        <v>1097</v>
      </c>
    </row>
    <row r="293" customFormat="false" ht="15" hidden="false" customHeight="false" outlineLevel="0" collapsed="false">
      <c r="C293" s="2" t="s">
        <v>1098</v>
      </c>
      <c r="D293" s="2" t="s">
        <v>37</v>
      </c>
      <c r="E293" s="2" t="s">
        <v>1099</v>
      </c>
      <c r="F293" s="2" t="s">
        <v>1100</v>
      </c>
      <c r="G293" s="2" t="s">
        <v>1101</v>
      </c>
      <c r="H293" s="2" t="s">
        <v>41</v>
      </c>
      <c r="I293" s="2" t="s">
        <v>122</v>
      </c>
      <c r="K293" s="2" t="s">
        <v>1102</v>
      </c>
    </row>
    <row r="294" customFormat="false" ht="15" hidden="false" customHeight="false" outlineLevel="0" collapsed="false">
      <c r="C294" s="2" t="s">
        <v>1103</v>
      </c>
      <c r="D294" s="2" t="s">
        <v>37</v>
      </c>
      <c r="E294" s="2" t="s">
        <v>1104</v>
      </c>
      <c r="F294" s="2" t="s">
        <v>1105</v>
      </c>
      <c r="G294" s="2" t="s">
        <v>1106</v>
      </c>
      <c r="H294" s="2" t="s">
        <v>41</v>
      </c>
      <c r="I294" s="2" t="s">
        <v>67</v>
      </c>
      <c r="J294" s="2" t="s">
        <v>43</v>
      </c>
      <c r="K294" s="2" t="s">
        <v>1107</v>
      </c>
    </row>
    <row r="295" customFormat="false" ht="15" hidden="false" customHeight="false" outlineLevel="0" collapsed="false">
      <c r="C295" s="2" t="s">
        <v>1108</v>
      </c>
      <c r="D295" s="2" t="s">
        <v>37</v>
      </c>
      <c r="E295" s="2" t="s">
        <v>1109</v>
      </c>
      <c r="F295" s="2" t="s">
        <v>840</v>
      </c>
      <c r="G295" s="2" t="s">
        <v>1110</v>
      </c>
      <c r="H295" s="2" t="s">
        <v>41</v>
      </c>
      <c r="I295" s="2" t="s">
        <v>336</v>
      </c>
      <c r="J295" s="2" t="s">
        <v>43</v>
      </c>
      <c r="K295" s="2" t="s">
        <v>138</v>
      </c>
    </row>
    <row r="296" customFormat="false" ht="15" hidden="false" customHeight="false" outlineLevel="0" collapsed="false">
      <c r="C296" s="2" t="s">
        <v>1111</v>
      </c>
      <c r="D296" s="2" t="s">
        <v>37</v>
      </c>
      <c r="E296" s="2" t="s">
        <v>1112</v>
      </c>
      <c r="F296" s="2" t="s">
        <v>1113</v>
      </c>
      <c r="G296" s="2" t="s">
        <v>1114</v>
      </c>
      <c r="H296" s="2" t="s">
        <v>41</v>
      </c>
      <c r="I296" s="2" t="s">
        <v>42</v>
      </c>
      <c r="J296" s="2" t="s">
        <v>43</v>
      </c>
    </row>
    <row r="297" customFormat="false" ht="15" hidden="false" customHeight="false" outlineLevel="0" collapsed="false">
      <c r="C297" s="2" t="s">
        <v>1115</v>
      </c>
      <c r="D297" s="2" t="s">
        <v>37</v>
      </c>
      <c r="E297" s="2" t="s">
        <v>210</v>
      </c>
      <c r="F297" s="2" t="s">
        <v>242</v>
      </c>
      <c r="G297" s="2" t="s">
        <v>1116</v>
      </c>
      <c r="H297" s="2" t="s">
        <v>41</v>
      </c>
      <c r="I297" s="2" t="s">
        <v>42</v>
      </c>
      <c r="J297" s="2" t="s">
        <v>68</v>
      </c>
      <c r="K297" s="2" t="s">
        <v>1117</v>
      </c>
    </row>
    <row r="298" customFormat="false" ht="15" hidden="false" customHeight="false" outlineLevel="0" collapsed="false">
      <c r="C298" s="2" t="s">
        <v>1118</v>
      </c>
      <c r="D298" s="2" t="s">
        <v>37</v>
      </c>
      <c r="E298" s="2" t="s">
        <v>276</v>
      </c>
      <c r="F298" s="2" t="s">
        <v>293</v>
      </c>
      <c r="G298" s="2" t="s">
        <v>1119</v>
      </c>
      <c r="H298" s="2" t="s">
        <v>41</v>
      </c>
      <c r="I298" s="2" t="s">
        <v>42</v>
      </c>
      <c r="J298" s="2" t="s">
        <v>68</v>
      </c>
      <c r="K298" s="2" t="s">
        <v>1120</v>
      </c>
    </row>
    <row r="299" customFormat="false" ht="15" hidden="false" customHeight="false" outlineLevel="0" collapsed="false">
      <c r="C299" s="2" t="s">
        <v>1121</v>
      </c>
      <c r="D299" s="2" t="s">
        <v>37</v>
      </c>
      <c r="E299" s="2" t="s">
        <v>621</v>
      </c>
      <c r="F299" s="2" t="s">
        <v>1122</v>
      </c>
      <c r="G299" s="2" t="s">
        <v>1123</v>
      </c>
      <c r="H299" s="2" t="s">
        <v>41</v>
      </c>
      <c r="I299" s="2" t="s">
        <v>175</v>
      </c>
      <c r="K299" s="2" t="s">
        <v>1124</v>
      </c>
    </row>
    <row r="300" customFormat="false" ht="15" hidden="false" customHeight="false" outlineLevel="0" collapsed="false">
      <c r="C300" s="2" t="s">
        <v>1125</v>
      </c>
      <c r="D300" s="2" t="s">
        <v>37</v>
      </c>
      <c r="E300" s="2" t="s">
        <v>660</v>
      </c>
      <c r="G300" s="2" t="s">
        <v>1126</v>
      </c>
      <c r="H300" s="2" t="s">
        <v>41</v>
      </c>
      <c r="J300" s="2" t="s">
        <v>43</v>
      </c>
    </row>
    <row r="301" customFormat="false" ht="15" hidden="false" customHeight="false" outlineLevel="0" collapsed="false">
      <c r="C301" s="2" t="s">
        <v>1127</v>
      </c>
      <c r="D301" s="2" t="s">
        <v>37</v>
      </c>
      <c r="E301" s="2" t="s">
        <v>242</v>
      </c>
      <c r="F301" s="2" t="s">
        <v>1128</v>
      </c>
      <c r="G301" s="2" t="s">
        <v>1129</v>
      </c>
      <c r="H301" s="2" t="s">
        <v>236</v>
      </c>
      <c r="I301" s="2" t="s">
        <v>42</v>
      </c>
      <c r="K301" s="2" t="s">
        <v>1130</v>
      </c>
    </row>
    <row r="302" customFormat="false" ht="15" hidden="false" customHeight="false" outlineLevel="0" collapsed="false">
      <c r="C302" s="2" t="s">
        <v>124</v>
      </c>
      <c r="G302" s="2" t="s">
        <v>1131</v>
      </c>
      <c r="H302" s="2" t="s">
        <v>41</v>
      </c>
    </row>
    <row r="304" customFormat="false" ht="15" hidden="false" customHeight="false" outlineLevel="0" collapsed="false">
      <c r="A304" s="2" t="s">
        <v>1132</v>
      </c>
      <c r="B304" s="2" t="s">
        <v>1133</v>
      </c>
      <c r="C304" s="2" t="s">
        <v>1134</v>
      </c>
      <c r="D304" s="2" t="s">
        <v>37</v>
      </c>
      <c r="E304" s="2" t="s">
        <v>223</v>
      </c>
      <c r="F304" s="2" t="s">
        <v>1135</v>
      </c>
      <c r="G304" s="2" t="s">
        <v>1136</v>
      </c>
      <c r="H304" s="2" t="s">
        <v>41</v>
      </c>
      <c r="I304" s="2" t="s">
        <v>102</v>
      </c>
      <c r="J304" s="2" t="s">
        <v>902</v>
      </c>
      <c r="K304" s="2" t="s">
        <v>307</v>
      </c>
    </row>
    <row r="305" customFormat="false" ht="15" hidden="false" customHeight="false" outlineLevel="0" collapsed="false">
      <c r="C305" s="2" t="s">
        <v>1137</v>
      </c>
      <c r="D305" s="2" t="s">
        <v>281</v>
      </c>
      <c r="E305" s="2" t="s">
        <v>432</v>
      </c>
      <c r="G305" s="2" t="s">
        <v>1138</v>
      </c>
      <c r="H305" s="2" t="s">
        <v>236</v>
      </c>
      <c r="I305" s="2" t="s">
        <v>1139</v>
      </c>
      <c r="J305" s="2" t="s">
        <v>902</v>
      </c>
      <c r="K305" s="2" t="s">
        <v>1140</v>
      </c>
    </row>
    <row r="306" customFormat="false" ht="15" hidden="false" customHeight="false" outlineLevel="0" collapsed="false">
      <c r="C306" s="2" t="s">
        <v>1141</v>
      </c>
      <c r="D306" s="2" t="s">
        <v>37</v>
      </c>
      <c r="E306" s="2" t="s">
        <v>114</v>
      </c>
      <c r="F306" s="2" t="s">
        <v>1142</v>
      </c>
      <c r="G306" s="2" t="s">
        <v>1143</v>
      </c>
      <c r="H306" s="2" t="s">
        <v>41</v>
      </c>
      <c r="I306" s="2" t="s">
        <v>1144</v>
      </c>
      <c r="J306" s="2" t="s">
        <v>502</v>
      </c>
      <c r="K306" s="2" t="s">
        <v>1145</v>
      </c>
    </row>
    <row r="307" customFormat="false" ht="15" hidden="false" customHeight="false" outlineLevel="0" collapsed="false">
      <c r="C307" s="2" t="s">
        <v>124</v>
      </c>
      <c r="G307" s="2" t="s">
        <v>1146</v>
      </c>
      <c r="H307" s="2" t="s">
        <v>41</v>
      </c>
    </row>
    <row r="308" customFormat="false" ht="15" hidden="false" customHeight="false" outlineLevel="0" collapsed="false">
      <c r="A308" s="2" t="s">
        <v>1147</v>
      </c>
      <c r="B308" s="2" t="s">
        <v>1148</v>
      </c>
      <c r="C308" s="2" t="s">
        <v>1149</v>
      </c>
      <c r="D308" s="2" t="s">
        <v>37</v>
      </c>
      <c r="E308" s="2" t="s">
        <v>1150</v>
      </c>
      <c r="F308" s="2" t="s">
        <v>77</v>
      </c>
      <c r="G308" s="2" t="s">
        <v>1151</v>
      </c>
      <c r="H308" s="2" t="s">
        <v>41</v>
      </c>
      <c r="I308" s="2" t="s">
        <v>96</v>
      </c>
      <c r="K308" s="2" t="s">
        <v>1152</v>
      </c>
      <c r="L308" s="2" t="s">
        <v>549</v>
      </c>
    </row>
    <row r="309" customFormat="false" ht="15" hidden="false" customHeight="false" outlineLevel="0" collapsed="false">
      <c r="A309" s="2" t="s">
        <v>1153</v>
      </c>
    </row>
    <row r="311" customFormat="false" ht="15" hidden="false" customHeight="false" outlineLevel="0" collapsed="false">
      <c r="A311" s="2" t="s">
        <v>17</v>
      </c>
      <c r="G311" s="2" t="s">
        <v>261</v>
      </c>
    </row>
    <row r="312" customFormat="false" ht="15" hidden="false" customHeight="false" outlineLevel="0" collapsed="false">
      <c r="A312" s="2" t="s">
        <v>22</v>
      </c>
      <c r="B312" s="2" t="s">
        <v>23</v>
      </c>
      <c r="C312" s="2" t="s">
        <v>24</v>
      </c>
      <c r="D312" s="2" t="s">
        <v>25</v>
      </c>
      <c r="E312" s="2" t="s">
        <v>26</v>
      </c>
      <c r="F312" s="2" t="s">
        <v>27</v>
      </c>
      <c r="G312" s="2" t="s">
        <v>28</v>
      </c>
      <c r="H312" s="2" t="s">
        <v>29</v>
      </c>
      <c r="I312" s="2" t="s">
        <v>30</v>
      </c>
      <c r="J312" s="2" t="s">
        <v>31</v>
      </c>
      <c r="K312" s="2" t="s">
        <v>32</v>
      </c>
      <c r="L312" s="2" t="s">
        <v>33</v>
      </c>
    </row>
    <row r="313" customFormat="false" ht="15" hidden="false" customHeight="false" outlineLevel="0" collapsed="false">
      <c r="C313" s="2" t="s">
        <v>1154</v>
      </c>
      <c r="D313" s="2" t="s">
        <v>37</v>
      </c>
      <c r="E313" s="2" t="s">
        <v>984</v>
      </c>
      <c r="F313" s="2" t="s">
        <v>985</v>
      </c>
      <c r="G313" s="2" t="s">
        <v>1155</v>
      </c>
      <c r="H313" s="2" t="s">
        <v>41</v>
      </c>
      <c r="I313" s="2" t="s">
        <v>42</v>
      </c>
      <c r="K313" s="2" t="s">
        <v>1156</v>
      </c>
    </row>
    <row r="314" customFormat="false" ht="15" hidden="false" customHeight="false" outlineLevel="0" collapsed="false">
      <c r="C314" s="2" t="s">
        <v>1157</v>
      </c>
      <c r="D314" s="2" t="s">
        <v>281</v>
      </c>
      <c r="E314" s="2" t="s">
        <v>233</v>
      </c>
      <c r="F314" s="2" t="s">
        <v>964</v>
      </c>
      <c r="G314" s="2" t="s">
        <v>1158</v>
      </c>
      <c r="H314" s="2" t="s">
        <v>61</v>
      </c>
      <c r="I314" s="2" t="s">
        <v>67</v>
      </c>
      <c r="J314" s="2" t="s">
        <v>940</v>
      </c>
      <c r="K314" s="2" t="s">
        <v>1159</v>
      </c>
    </row>
    <row r="315" customFormat="false" ht="15" hidden="false" customHeight="false" outlineLevel="0" collapsed="false">
      <c r="C315" s="2" t="s">
        <v>1160</v>
      </c>
      <c r="D315" s="2" t="s">
        <v>222</v>
      </c>
      <c r="E315" s="2" t="s">
        <v>392</v>
      </c>
      <c r="F315" s="2" t="s">
        <v>392</v>
      </c>
      <c r="G315" s="2" t="s">
        <v>1161</v>
      </c>
      <c r="H315" s="2" t="s">
        <v>41</v>
      </c>
      <c r="I315" s="2" t="s">
        <v>225</v>
      </c>
      <c r="J315" s="2" t="s">
        <v>301</v>
      </c>
    </row>
    <row r="316" customFormat="false" ht="15" hidden="false" customHeight="false" outlineLevel="0" collapsed="false">
      <c r="C316" s="2" t="s">
        <v>1162</v>
      </c>
      <c r="D316" s="2" t="s">
        <v>37</v>
      </c>
      <c r="E316" s="2" t="s">
        <v>665</v>
      </c>
      <c r="F316" s="2" t="s">
        <v>746</v>
      </c>
      <c r="G316" s="2" t="s">
        <v>1163</v>
      </c>
      <c r="H316" s="2" t="s">
        <v>41</v>
      </c>
      <c r="I316" s="2" t="s">
        <v>320</v>
      </c>
      <c r="J316" s="2" t="s">
        <v>694</v>
      </c>
      <c r="K316" s="2" t="s">
        <v>1164</v>
      </c>
    </row>
    <row r="317" customFormat="false" ht="15" hidden="false" customHeight="false" outlineLevel="0" collapsed="false">
      <c r="C317" s="2" t="s">
        <v>124</v>
      </c>
      <c r="G317" s="2" t="s">
        <v>1165</v>
      </c>
      <c r="H317" s="2" t="s">
        <v>41</v>
      </c>
    </row>
    <row r="319" customFormat="false" ht="15" hidden="false" customHeight="false" outlineLevel="0" collapsed="false">
      <c r="A319" s="2" t="s">
        <v>1166</v>
      </c>
      <c r="B319" s="2" t="s">
        <v>1167</v>
      </c>
      <c r="C319" s="2" t="s">
        <v>1168</v>
      </c>
      <c r="D319" s="2" t="s">
        <v>274</v>
      </c>
      <c r="E319" s="2" t="s">
        <v>836</v>
      </c>
      <c r="F319" s="2" t="s">
        <v>773</v>
      </c>
      <c r="G319" s="2" t="s">
        <v>1169</v>
      </c>
      <c r="H319" s="2" t="s">
        <v>41</v>
      </c>
      <c r="I319" s="2" t="s">
        <v>42</v>
      </c>
      <c r="J319" s="2" t="s">
        <v>137</v>
      </c>
      <c r="K319" s="2" t="s">
        <v>1170</v>
      </c>
    </row>
    <row r="320" customFormat="false" ht="15" hidden="false" customHeight="false" outlineLevel="0" collapsed="false">
      <c r="C320" s="2" t="s">
        <v>1171</v>
      </c>
      <c r="D320" s="2" t="s">
        <v>171</v>
      </c>
      <c r="E320" s="2" t="s">
        <v>1172</v>
      </c>
      <c r="F320" s="2" t="s">
        <v>1173</v>
      </c>
      <c r="G320" s="2" t="s">
        <v>1174</v>
      </c>
      <c r="H320" s="2" t="s">
        <v>41</v>
      </c>
      <c r="I320" s="2" t="s">
        <v>122</v>
      </c>
      <c r="J320" s="2" t="s">
        <v>321</v>
      </c>
      <c r="K320" s="2" t="s">
        <v>1175</v>
      </c>
    </row>
    <row r="321" customFormat="false" ht="15" hidden="false" customHeight="false" outlineLevel="0" collapsed="false">
      <c r="C321" s="2" t="s">
        <v>1176</v>
      </c>
      <c r="D321" s="2" t="s">
        <v>37</v>
      </c>
      <c r="E321" s="2" t="s">
        <v>1177</v>
      </c>
      <c r="F321" s="2" t="s">
        <v>537</v>
      </c>
      <c r="G321" s="2" t="s">
        <v>1178</v>
      </c>
      <c r="H321" s="2" t="s">
        <v>236</v>
      </c>
      <c r="I321" s="2" t="s">
        <v>320</v>
      </c>
      <c r="J321" s="2" t="s">
        <v>332</v>
      </c>
      <c r="K321" s="2" t="s">
        <v>1179</v>
      </c>
    </row>
    <row r="322" customFormat="false" ht="15" hidden="false" customHeight="false" outlineLevel="0" collapsed="false">
      <c r="C322" s="2" t="s">
        <v>1180</v>
      </c>
      <c r="D322" s="2" t="s">
        <v>37</v>
      </c>
      <c r="E322" s="2" t="s">
        <v>78</v>
      </c>
      <c r="G322" s="2" t="s">
        <v>1181</v>
      </c>
      <c r="H322" s="2" t="s">
        <v>41</v>
      </c>
      <c r="I322" s="2" t="s">
        <v>67</v>
      </c>
      <c r="J322" s="2" t="s">
        <v>443</v>
      </c>
      <c r="K322" s="2" t="s">
        <v>1182</v>
      </c>
    </row>
    <row r="323" customFormat="false" ht="15" hidden="false" customHeight="false" outlineLevel="0" collapsed="false">
      <c r="C323" s="2" t="s">
        <v>1183</v>
      </c>
      <c r="D323" s="2" t="s">
        <v>37</v>
      </c>
      <c r="E323" s="2" t="s">
        <v>130</v>
      </c>
      <c r="F323" s="2" t="s">
        <v>650</v>
      </c>
      <c r="G323" s="2" t="s">
        <v>1184</v>
      </c>
      <c r="H323" s="2" t="s">
        <v>41</v>
      </c>
      <c r="I323" s="2" t="s">
        <v>67</v>
      </c>
      <c r="J323" s="2" t="s">
        <v>332</v>
      </c>
      <c r="K323" s="2" t="s">
        <v>1185</v>
      </c>
    </row>
    <row r="324" customFormat="false" ht="15" hidden="false" customHeight="false" outlineLevel="0" collapsed="false">
      <c r="C324" s="2" t="s">
        <v>1186</v>
      </c>
      <c r="D324" s="2" t="s">
        <v>37</v>
      </c>
      <c r="E324" s="2" t="s">
        <v>1187</v>
      </c>
      <c r="F324" s="2" t="s">
        <v>1188</v>
      </c>
      <c r="G324" s="2" t="s">
        <v>1189</v>
      </c>
      <c r="H324" s="2" t="s">
        <v>41</v>
      </c>
      <c r="I324" s="2" t="s">
        <v>67</v>
      </c>
      <c r="J324" s="2" t="s">
        <v>137</v>
      </c>
      <c r="K324" s="2" t="s">
        <v>1190</v>
      </c>
    </row>
    <row r="325" customFormat="false" ht="15" hidden="false" customHeight="false" outlineLevel="0" collapsed="false">
      <c r="C325" s="2" t="s">
        <v>124</v>
      </c>
      <c r="G325" s="2" t="s">
        <v>1191</v>
      </c>
      <c r="H325" s="2" t="s">
        <v>41</v>
      </c>
    </row>
    <row r="327" customFormat="false" ht="15" hidden="false" customHeight="false" outlineLevel="0" collapsed="false">
      <c r="A327" s="2" t="s">
        <v>1192</v>
      </c>
      <c r="B327" s="2" t="s">
        <v>1193</v>
      </c>
      <c r="C327" s="2" t="s">
        <v>1194</v>
      </c>
      <c r="D327" s="2" t="s">
        <v>37</v>
      </c>
      <c r="E327" s="2" t="s">
        <v>1195</v>
      </c>
      <c r="F327" s="2" t="s">
        <v>1196</v>
      </c>
      <c r="G327" s="2" t="s">
        <v>1197</v>
      </c>
      <c r="H327" s="2" t="s">
        <v>236</v>
      </c>
      <c r="I327" s="2" t="s">
        <v>1139</v>
      </c>
      <c r="J327" s="2" t="s">
        <v>43</v>
      </c>
      <c r="K327" s="2" t="s">
        <v>1198</v>
      </c>
    </row>
    <row r="328" customFormat="false" ht="15" hidden="false" customHeight="false" outlineLevel="0" collapsed="false">
      <c r="C328" s="2" t="s">
        <v>1199</v>
      </c>
      <c r="D328" s="2" t="s">
        <v>171</v>
      </c>
      <c r="E328" s="2" t="s">
        <v>473</v>
      </c>
      <c r="F328" s="2" t="s">
        <v>268</v>
      </c>
      <c r="G328" s="2" t="s">
        <v>1200</v>
      </c>
      <c r="H328" s="2" t="s">
        <v>41</v>
      </c>
      <c r="I328" s="2" t="s">
        <v>102</v>
      </c>
      <c r="J328" s="2" t="s">
        <v>55</v>
      </c>
      <c r="K328" s="2" t="s">
        <v>1201</v>
      </c>
      <c r="L328" s="2" t="s">
        <v>1202</v>
      </c>
    </row>
    <row r="329" customFormat="false" ht="15" hidden="false" customHeight="false" outlineLevel="0" collapsed="false">
      <c r="C329" s="2" t="s">
        <v>1203</v>
      </c>
      <c r="D329" s="2" t="s">
        <v>37</v>
      </c>
      <c r="E329" s="2" t="s">
        <v>345</v>
      </c>
      <c r="F329" s="2" t="s">
        <v>1204</v>
      </c>
      <c r="G329" s="2" t="s">
        <v>1205</v>
      </c>
      <c r="H329" s="2" t="s">
        <v>41</v>
      </c>
      <c r="I329" s="2" t="s">
        <v>1144</v>
      </c>
      <c r="J329" s="2" t="s">
        <v>43</v>
      </c>
    </row>
    <row r="330" customFormat="false" ht="15" hidden="false" customHeight="false" outlineLevel="0" collapsed="false">
      <c r="C330" s="2" t="s">
        <v>1206</v>
      </c>
      <c r="D330" s="2" t="s">
        <v>37</v>
      </c>
      <c r="E330" s="2" t="s">
        <v>1207</v>
      </c>
      <c r="F330" s="2" t="s">
        <v>210</v>
      </c>
      <c r="G330" s="2" t="s">
        <v>1208</v>
      </c>
      <c r="H330" s="2" t="s">
        <v>41</v>
      </c>
      <c r="I330" s="2" t="s">
        <v>1139</v>
      </c>
      <c r="J330" s="2" t="s">
        <v>43</v>
      </c>
      <c r="K330" s="2" t="s">
        <v>1209</v>
      </c>
    </row>
    <row r="331" customFormat="false" ht="15" hidden="false" customHeight="false" outlineLevel="0" collapsed="false">
      <c r="C331" s="2" t="s">
        <v>124</v>
      </c>
      <c r="G331" s="2" t="s">
        <v>1210</v>
      </c>
      <c r="H331" s="2" t="s">
        <v>41</v>
      </c>
    </row>
    <row r="333" customFormat="false" ht="15" hidden="false" customHeight="false" outlineLevel="0" collapsed="false">
      <c r="A333" s="2" t="s">
        <v>1211</v>
      </c>
      <c r="B333" s="2" t="s">
        <v>1212</v>
      </c>
      <c r="C333" s="2" t="s">
        <v>1213</v>
      </c>
      <c r="D333" s="2" t="s">
        <v>37</v>
      </c>
      <c r="E333" s="2" t="s">
        <v>1214</v>
      </c>
      <c r="F333" s="2" t="s">
        <v>1215</v>
      </c>
      <c r="G333" s="2" t="s">
        <v>1216</v>
      </c>
      <c r="H333" s="2" t="s">
        <v>61</v>
      </c>
      <c r="I333" s="2" t="s">
        <v>67</v>
      </c>
      <c r="J333" s="2" t="s">
        <v>301</v>
      </c>
      <c r="K333" s="2" t="s">
        <v>1217</v>
      </c>
    </row>
    <row r="334" customFormat="false" ht="15" hidden="false" customHeight="false" outlineLevel="0" collapsed="false">
      <c r="C334" s="2" t="s">
        <v>1218</v>
      </c>
      <c r="D334" s="2" t="s">
        <v>37</v>
      </c>
      <c r="E334" s="2" t="s">
        <v>1219</v>
      </c>
      <c r="F334" s="2" t="s">
        <v>1220</v>
      </c>
      <c r="G334" s="2" t="s">
        <v>1221</v>
      </c>
      <c r="H334" s="2" t="s">
        <v>41</v>
      </c>
      <c r="I334" s="2" t="s">
        <v>42</v>
      </c>
      <c r="J334" s="2" t="s">
        <v>162</v>
      </c>
      <c r="K334" s="2" t="s">
        <v>1222</v>
      </c>
    </row>
    <row r="335" customFormat="false" ht="15" hidden="false" customHeight="false" outlineLevel="0" collapsed="false">
      <c r="C335" s="2" t="s">
        <v>1223</v>
      </c>
      <c r="D335" s="2" t="s">
        <v>37</v>
      </c>
      <c r="E335" s="2" t="s">
        <v>1224</v>
      </c>
      <c r="F335" s="2" t="s">
        <v>1225</v>
      </c>
      <c r="G335" s="2" t="s">
        <v>1226</v>
      </c>
      <c r="I335" s="2" t="s">
        <v>42</v>
      </c>
      <c r="J335" s="2" t="s">
        <v>162</v>
      </c>
      <c r="K335" s="2" t="s">
        <v>1227</v>
      </c>
    </row>
    <row r="336" customFormat="false" ht="15" hidden="false" customHeight="false" outlineLevel="0" collapsed="false">
      <c r="C336" s="2" t="s">
        <v>1228</v>
      </c>
      <c r="D336" s="2" t="s">
        <v>171</v>
      </c>
      <c r="E336" s="2" t="s">
        <v>1229</v>
      </c>
      <c r="F336" s="2" t="s">
        <v>1230</v>
      </c>
      <c r="G336" s="2" t="s">
        <v>1231</v>
      </c>
      <c r="H336" s="2" t="s">
        <v>41</v>
      </c>
      <c r="I336" s="2" t="s">
        <v>42</v>
      </c>
      <c r="J336" s="2" t="s">
        <v>162</v>
      </c>
    </row>
    <row r="337" customFormat="false" ht="15" hidden="false" customHeight="false" outlineLevel="0" collapsed="false">
      <c r="C337" s="2" t="s">
        <v>1232</v>
      </c>
      <c r="D337" s="2" t="s">
        <v>37</v>
      </c>
      <c r="E337" s="2" t="s">
        <v>537</v>
      </c>
      <c r="F337" s="2" t="s">
        <v>541</v>
      </c>
      <c r="G337" s="2" t="s">
        <v>1233</v>
      </c>
      <c r="I337" s="2" t="s">
        <v>320</v>
      </c>
      <c r="J337" s="2" t="s">
        <v>162</v>
      </c>
    </row>
    <row r="338" customFormat="false" ht="15" hidden="false" customHeight="false" outlineLevel="0" collapsed="false">
      <c r="C338" s="2" t="s">
        <v>1234</v>
      </c>
      <c r="D338" s="2" t="s">
        <v>37</v>
      </c>
      <c r="E338" s="2" t="s">
        <v>1235</v>
      </c>
      <c r="G338" s="2" t="s">
        <v>1236</v>
      </c>
      <c r="H338" s="2" t="s">
        <v>41</v>
      </c>
      <c r="I338" s="2" t="s">
        <v>42</v>
      </c>
      <c r="J338" s="2" t="s">
        <v>290</v>
      </c>
      <c r="K338" s="2" t="s">
        <v>1237</v>
      </c>
      <c r="L338" s="2" t="s">
        <v>462</v>
      </c>
    </row>
    <row r="339" customFormat="false" ht="15" hidden="false" customHeight="false" outlineLevel="0" collapsed="false">
      <c r="C339" s="2" t="s">
        <v>1238</v>
      </c>
      <c r="D339" s="2" t="s">
        <v>37</v>
      </c>
      <c r="E339" s="2" t="s">
        <v>1239</v>
      </c>
      <c r="F339" s="2" t="s">
        <v>1240</v>
      </c>
      <c r="G339" s="2" t="s">
        <v>1241</v>
      </c>
      <c r="H339" s="2" t="s">
        <v>236</v>
      </c>
      <c r="I339" s="2" t="s">
        <v>96</v>
      </c>
      <c r="J339" s="2" t="s">
        <v>162</v>
      </c>
      <c r="K339" s="2" t="s">
        <v>1242</v>
      </c>
    </row>
    <row r="340" customFormat="false" ht="15" hidden="false" customHeight="false" outlineLevel="0" collapsed="false">
      <c r="C340" s="2" t="s">
        <v>1243</v>
      </c>
      <c r="D340" s="2" t="s">
        <v>37</v>
      </c>
      <c r="E340" s="2" t="s">
        <v>179</v>
      </c>
      <c r="F340" s="2" t="s">
        <v>1244</v>
      </c>
      <c r="G340" s="2" t="s">
        <v>1245</v>
      </c>
      <c r="H340" s="2" t="s">
        <v>41</v>
      </c>
      <c r="I340" s="2" t="s">
        <v>122</v>
      </c>
      <c r="J340" s="2" t="s">
        <v>162</v>
      </c>
      <c r="K340" s="2" t="s">
        <v>1246</v>
      </c>
    </row>
    <row r="341" customFormat="false" ht="15" hidden="false" customHeight="false" outlineLevel="0" collapsed="false">
      <c r="C341" s="2" t="s">
        <v>1247</v>
      </c>
      <c r="D341" s="2" t="s">
        <v>37</v>
      </c>
      <c r="E341" s="2" t="s">
        <v>1248</v>
      </c>
      <c r="F341" s="2" t="s">
        <v>1249</v>
      </c>
      <c r="G341" s="2" t="s">
        <v>1250</v>
      </c>
      <c r="H341" s="2" t="s">
        <v>41</v>
      </c>
      <c r="J341" s="2" t="s">
        <v>278</v>
      </c>
      <c r="K341" s="2" t="s">
        <v>1251</v>
      </c>
    </row>
    <row r="342" customFormat="false" ht="15" hidden="false" customHeight="false" outlineLevel="0" collapsed="false">
      <c r="C342" s="2" t="s">
        <v>1252</v>
      </c>
      <c r="D342" s="2" t="s">
        <v>171</v>
      </c>
      <c r="E342" s="2" t="s">
        <v>325</v>
      </c>
      <c r="F342" s="2" t="s">
        <v>884</v>
      </c>
      <c r="G342" s="2" t="s">
        <v>1253</v>
      </c>
      <c r="H342" s="2" t="s">
        <v>41</v>
      </c>
      <c r="I342" s="2" t="s">
        <v>168</v>
      </c>
      <c r="J342" s="2" t="s">
        <v>162</v>
      </c>
      <c r="K342" s="2" t="s">
        <v>1254</v>
      </c>
    </row>
    <row r="343" customFormat="false" ht="15" hidden="false" customHeight="false" outlineLevel="0" collapsed="false">
      <c r="C343" s="2" t="s">
        <v>1255</v>
      </c>
      <c r="D343" s="2" t="s">
        <v>37</v>
      </c>
      <c r="E343" s="2" t="s">
        <v>1256</v>
      </c>
      <c r="F343" s="2" t="s">
        <v>130</v>
      </c>
      <c r="G343" s="2" t="s">
        <v>1257</v>
      </c>
      <c r="H343" s="2" t="s">
        <v>41</v>
      </c>
      <c r="I343" s="2" t="s">
        <v>42</v>
      </c>
      <c r="J343" s="2" t="s">
        <v>301</v>
      </c>
      <c r="K343" s="2" t="s">
        <v>1258</v>
      </c>
      <c r="L343" s="2" t="s">
        <v>272</v>
      </c>
    </row>
    <row r="344" customFormat="false" ht="15" hidden="false" customHeight="false" outlineLevel="0" collapsed="false">
      <c r="C344" s="2" t="s">
        <v>1259</v>
      </c>
      <c r="D344" s="2" t="s">
        <v>37</v>
      </c>
      <c r="E344" s="2" t="s">
        <v>1260</v>
      </c>
      <c r="F344" s="2" t="s">
        <v>1261</v>
      </c>
      <c r="G344" s="2" t="s">
        <v>1262</v>
      </c>
      <c r="H344" s="2" t="s">
        <v>41</v>
      </c>
      <c r="I344" s="2" t="s">
        <v>320</v>
      </c>
      <c r="J344" s="2" t="s">
        <v>290</v>
      </c>
      <c r="K344" s="2" t="s">
        <v>1263</v>
      </c>
    </row>
    <row r="345" customFormat="false" ht="15" hidden="false" customHeight="false" outlineLevel="0" collapsed="false">
      <c r="C345" s="2" t="s">
        <v>1264</v>
      </c>
      <c r="D345" s="2" t="s">
        <v>37</v>
      </c>
      <c r="E345" s="2" t="s">
        <v>956</v>
      </c>
      <c r="F345" s="2" t="s">
        <v>1265</v>
      </c>
      <c r="G345" s="2" t="s">
        <v>1266</v>
      </c>
      <c r="H345" s="2" t="s">
        <v>236</v>
      </c>
      <c r="I345" s="2" t="s">
        <v>67</v>
      </c>
      <c r="J345" s="2" t="s">
        <v>290</v>
      </c>
    </row>
    <row r="346" customFormat="false" ht="15" hidden="false" customHeight="false" outlineLevel="0" collapsed="false">
      <c r="C346" s="2" t="s">
        <v>1267</v>
      </c>
      <c r="D346" s="2" t="s">
        <v>281</v>
      </c>
      <c r="E346" s="2" t="s">
        <v>956</v>
      </c>
      <c r="F346" s="2" t="s">
        <v>1265</v>
      </c>
      <c r="G346" s="2" t="s">
        <v>1268</v>
      </c>
      <c r="H346" s="2" t="s">
        <v>41</v>
      </c>
      <c r="I346" s="2" t="s">
        <v>42</v>
      </c>
      <c r="J346" s="2" t="s">
        <v>162</v>
      </c>
      <c r="K346" s="2" t="s">
        <v>1269</v>
      </c>
    </row>
    <row r="347" customFormat="false" ht="15" hidden="false" customHeight="false" outlineLevel="0" collapsed="false">
      <c r="C347" s="2" t="s">
        <v>1270</v>
      </c>
      <c r="D347" s="2" t="s">
        <v>37</v>
      </c>
      <c r="E347" s="2" t="s">
        <v>984</v>
      </c>
      <c r="F347" s="2" t="s">
        <v>985</v>
      </c>
      <c r="G347" s="2" t="s">
        <v>1271</v>
      </c>
      <c r="H347" s="2" t="s">
        <v>41</v>
      </c>
      <c r="I347" s="2" t="s">
        <v>336</v>
      </c>
      <c r="J347" s="2" t="s">
        <v>278</v>
      </c>
      <c r="K347" s="2" t="s">
        <v>1190</v>
      </c>
    </row>
    <row r="348" customFormat="false" ht="15" hidden="false" customHeight="false" outlineLevel="0" collapsed="false">
      <c r="C348" s="2" t="s">
        <v>1272</v>
      </c>
      <c r="D348" s="2" t="s">
        <v>37</v>
      </c>
      <c r="E348" s="2" t="s">
        <v>1113</v>
      </c>
      <c r="F348" s="2" t="s">
        <v>1038</v>
      </c>
      <c r="G348" s="2" t="s">
        <v>1273</v>
      </c>
      <c r="H348" s="2" t="s">
        <v>41</v>
      </c>
      <c r="I348" s="2" t="s">
        <v>320</v>
      </c>
      <c r="J348" s="2" t="s">
        <v>258</v>
      </c>
      <c r="K348" s="2" t="s">
        <v>147</v>
      </c>
      <c r="L348" s="2" t="s">
        <v>396</v>
      </c>
    </row>
    <row r="349" customFormat="false" ht="15" hidden="false" customHeight="false" outlineLevel="0" collapsed="false">
      <c r="C349" s="2" t="s">
        <v>1274</v>
      </c>
      <c r="D349" s="2" t="s">
        <v>37</v>
      </c>
      <c r="E349" s="2" t="s">
        <v>1275</v>
      </c>
      <c r="F349" s="2" t="s">
        <v>1276</v>
      </c>
      <c r="G349" s="2" t="s">
        <v>1277</v>
      </c>
      <c r="H349" s="2" t="s">
        <v>41</v>
      </c>
      <c r="I349" s="2" t="s">
        <v>67</v>
      </c>
      <c r="J349" s="2" t="s">
        <v>162</v>
      </c>
      <c r="K349" s="2" t="s">
        <v>307</v>
      </c>
    </row>
    <row r="350" customFormat="false" ht="15" hidden="false" customHeight="false" outlineLevel="0" collapsed="false">
      <c r="C350" s="2" t="s">
        <v>1278</v>
      </c>
      <c r="D350" s="2" t="s">
        <v>37</v>
      </c>
      <c r="E350" s="2" t="s">
        <v>985</v>
      </c>
      <c r="F350" s="2" t="s">
        <v>304</v>
      </c>
      <c r="G350" s="2" t="s">
        <v>1279</v>
      </c>
      <c r="I350" s="2" t="s">
        <v>67</v>
      </c>
      <c r="J350" s="2" t="s">
        <v>290</v>
      </c>
      <c r="K350" s="2" t="s">
        <v>1280</v>
      </c>
    </row>
    <row r="351" customFormat="false" ht="15" hidden="false" customHeight="false" outlineLevel="0" collapsed="false">
      <c r="C351" s="2" t="s">
        <v>1281</v>
      </c>
      <c r="D351" s="2" t="s">
        <v>37</v>
      </c>
      <c r="E351" s="2" t="s">
        <v>1282</v>
      </c>
      <c r="F351" s="2" t="s">
        <v>1283</v>
      </c>
      <c r="G351" s="2" t="s">
        <v>1284</v>
      </c>
      <c r="H351" s="2" t="s">
        <v>41</v>
      </c>
      <c r="I351" s="2" t="s">
        <v>67</v>
      </c>
      <c r="J351" s="2" t="s">
        <v>290</v>
      </c>
      <c r="K351" s="2" t="s">
        <v>1285</v>
      </c>
    </row>
    <row r="352" customFormat="false" ht="15" hidden="false" customHeight="false" outlineLevel="0" collapsed="false">
      <c r="C352" s="2" t="s">
        <v>1286</v>
      </c>
      <c r="D352" s="2" t="s">
        <v>171</v>
      </c>
      <c r="E352" s="2" t="s">
        <v>152</v>
      </c>
      <c r="F352" s="2" t="s">
        <v>1287</v>
      </c>
      <c r="G352" s="2" t="s">
        <v>1288</v>
      </c>
      <c r="H352" s="2" t="s">
        <v>41</v>
      </c>
      <c r="I352" s="2" t="s">
        <v>42</v>
      </c>
      <c r="J352" s="2" t="s">
        <v>301</v>
      </c>
      <c r="K352" s="2" t="s">
        <v>1289</v>
      </c>
    </row>
    <row r="353" customFormat="false" ht="15" hidden="false" customHeight="false" outlineLevel="0" collapsed="false">
      <c r="C353" s="2" t="s">
        <v>1290</v>
      </c>
      <c r="D353" s="2" t="s">
        <v>171</v>
      </c>
      <c r="E353" s="2" t="s">
        <v>650</v>
      </c>
      <c r="F353" s="2" t="s">
        <v>1291</v>
      </c>
      <c r="G353" s="2" t="s">
        <v>1292</v>
      </c>
      <c r="H353" s="2" t="s">
        <v>41</v>
      </c>
      <c r="I353" s="2" t="s">
        <v>67</v>
      </c>
      <c r="J353" s="2" t="s">
        <v>162</v>
      </c>
      <c r="K353" s="2" t="s">
        <v>1293</v>
      </c>
    </row>
    <row r="355" customFormat="false" ht="15" hidden="false" customHeight="false" outlineLevel="0" collapsed="false">
      <c r="C355" s="2" t="s">
        <v>1294</v>
      </c>
      <c r="D355" s="2" t="s">
        <v>37</v>
      </c>
      <c r="E355" s="2" t="s">
        <v>590</v>
      </c>
      <c r="G355" s="2" t="s">
        <v>1295</v>
      </c>
      <c r="H355" s="2" t="s">
        <v>41</v>
      </c>
      <c r="I355" s="2" t="s">
        <v>865</v>
      </c>
      <c r="J355" s="2" t="s">
        <v>258</v>
      </c>
      <c r="K355" s="2" t="s">
        <v>1296</v>
      </c>
    </row>
    <row r="356" customFormat="false" ht="15" hidden="false" customHeight="false" outlineLevel="0" collapsed="false">
      <c r="C356" s="2" t="s">
        <v>1297</v>
      </c>
      <c r="D356" s="2" t="s">
        <v>37</v>
      </c>
      <c r="E356" s="2" t="s">
        <v>135</v>
      </c>
      <c r="F356" s="2" t="s">
        <v>1298</v>
      </c>
      <c r="G356" s="2" t="s">
        <v>1299</v>
      </c>
      <c r="H356" s="2" t="s">
        <v>41</v>
      </c>
      <c r="I356" s="2" t="s">
        <v>1139</v>
      </c>
      <c r="J356" s="2" t="s">
        <v>162</v>
      </c>
      <c r="K356" s="2" t="s">
        <v>1300</v>
      </c>
    </row>
    <row r="357" customFormat="false" ht="15" hidden="false" customHeight="false" outlineLevel="0" collapsed="false">
      <c r="C357" s="2" t="s">
        <v>124</v>
      </c>
      <c r="G357" s="2" t="s">
        <v>1301</v>
      </c>
      <c r="H357" s="2" t="s">
        <v>41</v>
      </c>
    </row>
    <row r="359" customFormat="false" ht="15" hidden="false" customHeight="false" outlineLevel="0" collapsed="false">
      <c r="A359" s="2" t="s">
        <v>1302</v>
      </c>
      <c r="B359" s="2" t="s">
        <v>1303</v>
      </c>
      <c r="C359" s="2" t="s">
        <v>1304</v>
      </c>
      <c r="D359" s="2" t="s">
        <v>37</v>
      </c>
      <c r="E359" s="2" t="s">
        <v>1305</v>
      </c>
      <c r="F359" s="2" t="s">
        <v>1306</v>
      </c>
      <c r="G359" s="2" t="s">
        <v>1307</v>
      </c>
      <c r="H359" s="2" t="s">
        <v>41</v>
      </c>
      <c r="I359" s="2" t="s">
        <v>1139</v>
      </c>
      <c r="J359" s="2" t="s">
        <v>748</v>
      </c>
      <c r="K359" s="2" t="s">
        <v>1308</v>
      </c>
    </row>
    <row r="360" customFormat="false" ht="15" hidden="false" customHeight="false" outlineLevel="0" collapsed="false">
      <c r="A360" s="2" t="s">
        <v>1309</v>
      </c>
    </row>
    <row r="362" customFormat="false" ht="15" hidden="false" customHeight="false" outlineLevel="0" collapsed="false">
      <c r="A362" s="2" t="s">
        <v>17</v>
      </c>
      <c r="G362" s="2" t="s">
        <v>261</v>
      </c>
    </row>
    <row r="363" customFormat="false" ht="15" hidden="false" customHeight="false" outlineLevel="0" collapsed="false">
      <c r="A363" s="2" t="s">
        <v>22</v>
      </c>
      <c r="B363" s="2" t="s">
        <v>23</v>
      </c>
      <c r="C363" s="2" t="s">
        <v>24</v>
      </c>
      <c r="D363" s="2" t="s">
        <v>25</v>
      </c>
      <c r="E363" s="2" t="s">
        <v>26</v>
      </c>
      <c r="F363" s="2" t="s">
        <v>27</v>
      </c>
      <c r="G363" s="2" t="s">
        <v>28</v>
      </c>
      <c r="H363" s="2" t="s">
        <v>29</v>
      </c>
      <c r="I363" s="2" t="s">
        <v>30</v>
      </c>
      <c r="J363" s="2" t="s">
        <v>31</v>
      </c>
      <c r="K363" s="2" t="s">
        <v>32</v>
      </c>
      <c r="L363" s="2" t="s">
        <v>33</v>
      </c>
    </row>
    <row r="364" customFormat="false" ht="15" hidden="false" customHeight="false" outlineLevel="0" collapsed="false">
      <c r="A364" s="2" t="s">
        <v>1310</v>
      </c>
      <c r="B364" s="2" t="s">
        <v>1303</v>
      </c>
      <c r="C364" s="2" t="s">
        <v>1304</v>
      </c>
      <c r="D364" s="2" t="s">
        <v>37</v>
      </c>
      <c r="E364" s="2" t="s">
        <v>1305</v>
      </c>
      <c r="F364" s="2" t="s">
        <v>1306</v>
      </c>
      <c r="G364" s="2" t="s">
        <v>1307</v>
      </c>
      <c r="H364" s="2" t="s">
        <v>41</v>
      </c>
      <c r="I364" s="2" t="s">
        <v>1139</v>
      </c>
      <c r="J364" s="2" t="s">
        <v>748</v>
      </c>
      <c r="K364" s="2" t="s">
        <v>1308</v>
      </c>
    </row>
    <row r="365" customFormat="false" ht="15" hidden="false" customHeight="false" outlineLevel="0" collapsed="false">
      <c r="C365" s="2" t="s">
        <v>1311</v>
      </c>
      <c r="D365" s="2" t="s">
        <v>37</v>
      </c>
      <c r="E365" s="2" t="s">
        <v>1312</v>
      </c>
      <c r="F365" s="2" t="s">
        <v>1313</v>
      </c>
      <c r="G365" s="2" t="s">
        <v>1314</v>
      </c>
      <c r="H365" s="2" t="s">
        <v>61</v>
      </c>
      <c r="I365" s="2" t="s">
        <v>1315</v>
      </c>
      <c r="J365" s="2" t="s">
        <v>193</v>
      </c>
      <c r="K365" s="2" t="s">
        <v>1316</v>
      </c>
    </row>
    <row r="366" customFormat="false" ht="15" hidden="false" customHeight="false" outlineLevel="0" collapsed="false">
      <c r="C366" s="2" t="s">
        <v>1317</v>
      </c>
      <c r="D366" s="2" t="s">
        <v>37</v>
      </c>
      <c r="E366" s="2" t="s">
        <v>1318</v>
      </c>
      <c r="F366" s="2" t="s">
        <v>1048</v>
      </c>
      <c r="G366" s="2" t="s">
        <v>1319</v>
      </c>
      <c r="H366" s="2" t="s">
        <v>41</v>
      </c>
      <c r="I366" s="2" t="s">
        <v>1144</v>
      </c>
      <c r="J366" s="2" t="s">
        <v>728</v>
      </c>
      <c r="K366" s="2" t="s">
        <v>1320</v>
      </c>
    </row>
    <row r="367" customFormat="false" ht="15" hidden="false" customHeight="false" outlineLevel="0" collapsed="false">
      <c r="C367" s="2" t="s">
        <v>1321</v>
      </c>
      <c r="D367" s="2" t="s">
        <v>37</v>
      </c>
      <c r="E367" s="2" t="s">
        <v>469</v>
      </c>
      <c r="G367" s="2" t="s">
        <v>1322</v>
      </c>
      <c r="H367" s="2" t="s">
        <v>41</v>
      </c>
      <c r="I367" s="2" t="s">
        <v>102</v>
      </c>
      <c r="J367" s="2" t="s">
        <v>728</v>
      </c>
      <c r="K367" s="2" t="s">
        <v>817</v>
      </c>
    </row>
    <row r="368" customFormat="false" ht="15" hidden="false" customHeight="false" outlineLevel="0" collapsed="false">
      <c r="C368" s="2" t="s">
        <v>1323</v>
      </c>
      <c r="D368" s="2" t="s">
        <v>37</v>
      </c>
      <c r="E368" s="2" t="s">
        <v>811</v>
      </c>
      <c r="F368" s="2" t="s">
        <v>1324</v>
      </c>
      <c r="G368" s="2" t="s">
        <v>1325</v>
      </c>
      <c r="H368" s="2" t="s">
        <v>41</v>
      </c>
      <c r="I368" s="2" t="s">
        <v>102</v>
      </c>
      <c r="J368" s="2" t="s">
        <v>728</v>
      </c>
      <c r="K368" s="2" t="s">
        <v>1326</v>
      </c>
    </row>
    <row r="369" customFormat="false" ht="15" hidden="false" customHeight="false" outlineLevel="0" collapsed="false">
      <c r="C369" s="2" t="s">
        <v>1327</v>
      </c>
      <c r="D369" s="2" t="s">
        <v>37</v>
      </c>
      <c r="E369" s="2" t="s">
        <v>898</v>
      </c>
      <c r="F369" s="2" t="s">
        <v>1328</v>
      </c>
      <c r="G369" s="2" t="s">
        <v>1329</v>
      </c>
      <c r="H369" s="2" t="s">
        <v>41</v>
      </c>
      <c r="I369" s="2" t="s">
        <v>146</v>
      </c>
      <c r="J369" s="2" t="s">
        <v>728</v>
      </c>
    </row>
    <row r="370" customFormat="false" ht="15" hidden="false" customHeight="false" outlineLevel="0" collapsed="false">
      <c r="C370" s="2" t="s">
        <v>1330</v>
      </c>
      <c r="D370" s="2" t="s">
        <v>37</v>
      </c>
      <c r="E370" s="2" t="s">
        <v>884</v>
      </c>
      <c r="F370" s="2" t="s">
        <v>1331</v>
      </c>
      <c r="G370" s="2" t="s">
        <v>1332</v>
      </c>
      <c r="H370" s="2" t="s">
        <v>54</v>
      </c>
      <c r="I370" s="2" t="s">
        <v>161</v>
      </c>
      <c r="J370" s="2" t="s">
        <v>748</v>
      </c>
      <c r="K370" s="2" t="s">
        <v>1333</v>
      </c>
    </row>
    <row r="371" customFormat="false" ht="15" hidden="false" customHeight="false" outlineLevel="0" collapsed="false">
      <c r="C371" s="2" t="s">
        <v>1334</v>
      </c>
      <c r="D371" s="2" t="s">
        <v>37</v>
      </c>
      <c r="E371" s="2" t="s">
        <v>985</v>
      </c>
      <c r="F371" s="2" t="s">
        <v>595</v>
      </c>
      <c r="G371" s="2" t="s">
        <v>1335</v>
      </c>
      <c r="H371" s="2" t="s">
        <v>41</v>
      </c>
      <c r="I371" s="2" t="s">
        <v>102</v>
      </c>
      <c r="J371" s="2" t="s">
        <v>728</v>
      </c>
      <c r="K371" s="2" t="s">
        <v>1336</v>
      </c>
    </row>
    <row r="372" customFormat="false" ht="15" hidden="false" customHeight="false" outlineLevel="0" collapsed="false">
      <c r="C372" s="2" t="s">
        <v>1337</v>
      </c>
      <c r="D372" s="2" t="s">
        <v>37</v>
      </c>
      <c r="E372" s="2" t="s">
        <v>606</v>
      </c>
      <c r="F372" s="2" t="s">
        <v>964</v>
      </c>
      <c r="G372" s="2" t="s">
        <v>1338</v>
      </c>
      <c r="H372" s="2" t="s">
        <v>236</v>
      </c>
      <c r="I372" s="2" t="s">
        <v>1144</v>
      </c>
      <c r="J372" s="2" t="s">
        <v>719</v>
      </c>
      <c r="K372" s="2" t="s">
        <v>1339</v>
      </c>
    </row>
    <row r="373" customFormat="false" ht="15" hidden="false" customHeight="false" outlineLevel="0" collapsed="false">
      <c r="C373" s="2" t="s">
        <v>124</v>
      </c>
      <c r="G373" s="2" t="s">
        <v>1340</v>
      </c>
      <c r="H373" s="2" t="s">
        <v>41</v>
      </c>
    </row>
    <row r="375" customFormat="false" ht="15" hidden="false" customHeight="false" outlineLevel="0" collapsed="false">
      <c r="A375" s="2" t="s">
        <v>1341</v>
      </c>
      <c r="B375" s="2" t="s">
        <v>1342</v>
      </c>
      <c r="C375" s="2" t="s">
        <v>1343</v>
      </c>
      <c r="D375" s="2" t="s">
        <v>37</v>
      </c>
      <c r="E375" s="2" t="s">
        <v>1344</v>
      </c>
      <c r="F375" s="2" t="s">
        <v>1345</v>
      </c>
      <c r="G375" s="2" t="s">
        <v>1346</v>
      </c>
      <c r="H375" s="2" t="s">
        <v>41</v>
      </c>
      <c r="I375" s="2" t="s">
        <v>320</v>
      </c>
      <c r="J375" s="2" t="s">
        <v>489</v>
      </c>
      <c r="K375" s="2" t="s">
        <v>1347</v>
      </c>
    </row>
    <row r="376" customFormat="false" ht="15" hidden="false" customHeight="false" outlineLevel="0" collapsed="false">
      <c r="C376" s="2" t="s">
        <v>1348</v>
      </c>
      <c r="D376" s="2" t="s">
        <v>344</v>
      </c>
      <c r="E376" s="2" t="s">
        <v>201</v>
      </c>
      <c r="F376" s="2" t="s">
        <v>201</v>
      </c>
      <c r="G376" s="2" t="s">
        <v>1349</v>
      </c>
      <c r="H376" s="2" t="s">
        <v>41</v>
      </c>
      <c r="J376" s="2" t="s">
        <v>258</v>
      </c>
    </row>
    <row r="377" customFormat="false" ht="15" hidden="false" customHeight="false" outlineLevel="0" collapsed="false">
      <c r="C377" s="2" t="s">
        <v>1350</v>
      </c>
      <c r="D377" s="2" t="s">
        <v>37</v>
      </c>
      <c r="E377" s="2" t="s">
        <v>1351</v>
      </c>
      <c r="F377" s="2" t="s">
        <v>1352</v>
      </c>
      <c r="G377" s="2" t="s">
        <v>1353</v>
      </c>
      <c r="H377" s="2" t="s">
        <v>41</v>
      </c>
      <c r="I377" s="2" t="s">
        <v>42</v>
      </c>
      <c r="J377" s="2" t="s">
        <v>290</v>
      </c>
      <c r="L377" s="2" t="s">
        <v>462</v>
      </c>
    </row>
    <row r="378" customFormat="false" ht="15" hidden="false" customHeight="false" outlineLevel="0" collapsed="false">
      <c r="C378" s="2" t="s">
        <v>1354</v>
      </c>
      <c r="D378" s="2" t="s">
        <v>37</v>
      </c>
      <c r="E378" s="2" t="s">
        <v>1355</v>
      </c>
      <c r="F378" s="2" t="s">
        <v>1356</v>
      </c>
      <c r="G378" s="2" t="s">
        <v>1357</v>
      </c>
      <c r="H378" s="2" t="s">
        <v>41</v>
      </c>
      <c r="I378" s="2" t="s">
        <v>67</v>
      </c>
      <c r="J378" s="2" t="s">
        <v>301</v>
      </c>
      <c r="K378" s="2" t="s">
        <v>1358</v>
      </c>
    </row>
    <row r="379" customFormat="false" ht="15" hidden="false" customHeight="false" outlineLevel="0" collapsed="false">
      <c r="C379" s="2" t="s">
        <v>1359</v>
      </c>
      <c r="D379" s="2" t="s">
        <v>37</v>
      </c>
      <c r="E379" s="2" t="s">
        <v>152</v>
      </c>
      <c r="F379" s="2" t="s">
        <v>1287</v>
      </c>
      <c r="G379" s="2" t="s">
        <v>1360</v>
      </c>
      <c r="H379" s="2" t="s">
        <v>41</v>
      </c>
      <c r="I379" s="2" t="s">
        <v>42</v>
      </c>
      <c r="J379" s="2" t="s">
        <v>301</v>
      </c>
      <c r="K379" s="2" t="s">
        <v>1361</v>
      </c>
    </row>
    <row r="380" customFormat="false" ht="15" hidden="false" customHeight="false" outlineLevel="0" collapsed="false">
      <c r="C380" s="2" t="s">
        <v>1362</v>
      </c>
      <c r="D380" s="2" t="s">
        <v>37</v>
      </c>
      <c r="E380" s="2" t="s">
        <v>659</v>
      </c>
      <c r="F380" s="2" t="s">
        <v>660</v>
      </c>
      <c r="G380" s="2" t="s">
        <v>1363</v>
      </c>
      <c r="H380" s="2" t="s">
        <v>41</v>
      </c>
      <c r="I380" s="2" t="s">
        <v>67</v>
      </c>
      <c r="J380" s="2" t="s">
        <v>290</v>
      </c>
      <c r="K380" s="2" t="s">
        <v>1364</v>
      </c>
    </row>
    <row r="381" customFormat="false" ht="15" hidden="false" customHeight="false" outlineLevel="0" collapsed="false">
      <c r="C381" s="2" t="s">
        <v>1365</v>
      </c>
      <c r="D381" s="2" t="s">
        <v>37</v>
      </c>
      <c r="E381" s="2" t="s">
        <v>304</v>
      </c>
      <c r="F381" s="2" t="s">
        <v>596</v>
      </c>
      <c r="G381" s="2" t="s">
        <v>1366</v>
      </c>
      <c r="H381" s="2" t="s">
        <v>41</v>
      </c>
      <c r="I381" s="2" t="s">
        <v>336</v>
      </c>
      <c r="J381" s="2" t="s">
        <v>258</v>
      </c>
      <c r="K381" s="2" t="s">
        <v>1367</v>
      </c>
    </row>
    <row r="382" customFormat="false" ht="15" hidden="false" customHeight="false" outlineLevel="0" collapsed="false">
      <c r="C382" s="2" t="s">
        <v>1368</v>
      </c>
      <c r="D382" s="2" t="s">
        <v>37</v>
      </c>
      <c r="E382" s="2" t="s">
        <v>298</v>
      </c>
      <c r="G382" s="2" t="s">
        <v>1369</v>
      </c>
      <c r="H382" s="2" t="s">
        <v>41</v>
      </c>
      <c r="I382" s="2" t="s">
        <v>320</v>
      </c>
    </row>
    <row r="383" customFormat="false" ht="15" hidden="false" customHeight="false" outlineLevel="0" collapsed="false">
      <c r="C383" s="2" t="s">
        <v>124</v>
      </c>
      <c r="G383" s="2" t="s">
        <v>1370</v>
      </c>
      <c r="H383" s="2" t="s">
        <v>41</v>
      </c>
    </row>
    <row r="384" customFormat="false" ht="15" hidden="false" customHeight="false" outlineLevel="0" collapsed="false">
      <c r="A384" s="2" t="s">
        <v>1371</v>
      </c>
      <c r="B384" s="2" t="s">
        <v>1372</v>
      </c>
      <c r="C384" s="2" t="s">
        <v>1373</v>
      </c>
      <c r="D384" s="2" t="s">
        <v>37</v>
      </c>
      <c r="E384" s="2" t="s">
        <v>1374</v>
      </c>
      <c r="F384" s="2" t="s">
        <v>374</v>
      </c>
      <c r="G384" s="2" t="s">
        <v>1375</v>
      </c>
      <c r="H384" s="2" t="s">
        <v>41</v>
      </c>
      <c r="I384" s="2" t="s">
        <v>161</v>
      </c>
      <c r="J384" s="2" t="s">
        <v>258</v>
      </c>
      <c r="K384" s="2" t="s">
        <v>1376</v>
      </c>
    </row>
    <row r="385" customFormat="false" ht="15" hidden="false" customHeight="false" outlineLevel="0" collapsed="false">
      <c r="C385" s="2" t="s">
        <v>1377</v>
      </c>
      <c r="D385" s="2" t="s">
        <v>37</v>
      </c>
      <c r="E385" s="2" t="s">
        <v>1378</v>
      </c>
      <c r="F385" s="2" t="s">
        <v>1379</v>
      </c>
      <c r="G385" s="2" t="s">
        <v>1380</v>
      </c>
      <c r="I385" s="2" t="s">
        <v>175</v>
      </c>
      <c r="J385" s="2" t="s">
        <v>290</v>
      </c>
      <c r="K385" s="2" t="s">
        <v>1381</v>
      </c>
    </row>
    <row r="386" customFormat="false" ht="15" hidden="false" customHeight="false" outlineLevel="0" collapsed="false">
      <c r="C386" s="2" t="s">
        <v>1382</v>
      </c>
      <c r="D386" s="2" t="s">
        <v>37</v>
      </c>
      <c r="E386" s="2" t="s">
        <v>1383</v>
      </c>
      <c r="F386" s="2" t="s">
        <v>508</v>
      </c>
      <c r="G386" s="2" t="s">
        <v>1384</v>
      </c>
      <c r="H386" s="2" t="s">
        <v>41</v>
      </c>
      <c r="I386" s="2" t="s">
        <v>161</v>
      </c>
      <c r="J386" s="2" t="s">
        <v>162</v>
      </c>
      <c r="K386" s="2" t="s">
        <v>1385</v>
      </c>
    </row>
    <row r="387" customFormat="false" ht="15" hidden="false" customHeight="false" outlineLevel="0" collapsed="false">
      <c r="C387" s="2" t="s">
        <v>1386</v>
      </c>
      <c r="D387" s="2" t="s">
        <v>37</v>
      </c>
      <c r="E387" s="2" t="s">
        <v>1249</v>
      </c>
      <c r="F387" s="2" t="s">
        <v>1135</v>
      </c>
      <c r="G387" s="2" t="s">
        <v>1387</v>
      </c>
      <c r="H387" s="2" t="s">
        <v>41</v>
      </c>
      <c r="I387" s="2" t="s">
        <v>161</v>
      </c>
      <c r="J387" s="2" t="s">
        <v>162</v>
      </c>
      <c r="K387" s="2" t="s">
        <v>56</v>
      </c>
    </row>
    <row r="388" customFormat="false" ht="15" hidden="false" customHeight="false" outlineLevel="0" collapsed="false">
      <c r="C388" s="2" t="s">
        <v>1388</v>
      </c>
      <c r="D388" s="2" t="s">
        <v>37</v>
      </c>
      <c r="E388" s="2" t="s">
        <v>1389</v>
      </c>
      <c r="F388" s="2" t="s">
        <v>293</v>
      </c>
      <c r="G388" s="2" t="s">
        <v>1390</v>
      </c>
      <c r="H388" s="2" t="s">
        <v>41</v>
      </c>
      <c r="I388" s="2" t="s">
        <v>168</v>
      </c>
      <c r="J388" s="2" t="s">
        <v>162</v>
      </c>
      <c r="K388" s="2" t="s">
        <v>1391</v>
      </c>
    </row>
    <row r="389" customFormat="false" ht="15" hidden="false" customHeight="false" outlineLevel="0" collapsed="false">
      <c r="C389" s="2" t="s">
        <v>1392</v>
      </c>
      <c r="D389" s="2" t="s">
        <v>37</v>
      </c>
      <c r="E389" s="2" t="s">
        <v>233</v>
      </c>
      <c r="F389" s="2" t="s">
        <v>234</v>
      </c>
      <c r="G389" s="2" t="s">
        <v>1393</v>
      </c>
      <c r="H389" s="2" t="s">
        <v>41</v>
      </c>
      <c r="I389" s="2" t="s">
        <v>161</v>
      </c>
      <c r="J389" s="2" t="s">
        <v>162</v>
      </c>
      <c r="K389" s="2" t="s">
        <v>1394</v>
      </c>
    </row>
    <row r="390" customFormat="false" ht="15" hidden="false" customHeight="false" outlineLevel="0" collapsed="false">
      <c r="C390" s="2" t="s">
        <v>124</v>
      </c>
      <c r="G390" s="2" t="s">
        <v>1395</v>
      </c>
      <c r="H390" s="2" t="s">
        <v>41</v>
      </c>
    </row>
    <row r="392" customFormat="false" ht="15" hidden="false" customHeight="false" outlineLevel="0" collapsed="false">
      <c r="A392" s="2" t="s">
        <v>1396</v>
      </c>
      <c r="B392" s="2" t="s">
        <v>1397</v>
      </c>
      <c r="C392" s="2" t="s">
        <v>1398</v>
      </c>
      <c r="D392" s="2" t="s">
        <v>37</v>
      </c>
      <c r="E392" s="2" t="s">
        <v>1399</v>
      </c>
      <c r="F392" s="2" t="s">
        <v>1400</v>
      </c>
      <c r="G392" s="2" t="s">
        <v>1401</v>
      </c>
      <c r="H392" s="2" t="s">
        <v>41</v>
      </c>
      <c r="I392" s="2" t="s">
        <v>161</v>
      </c>
      <c r="J392" s="2" t="s">
        <v>90</v>
      </c>
      <c r="K392" s="2" t="s">
        <v>1402</v>
      </c>
    </row>
    <row r="393" customFormat="false" ht="15" hidden="false" customHeight="false" outlineLevel="0" collapsed="false">
      <c r="C393" s="2" t="s">
        <v>1403</v>
      </c>
      <c r="D393" s="2" t="s">
        <v>37</v>
      </c>
      <c r="E393" s="2" t="s">
        <v>1404</v>
      </c>
      <c r="F393" s="2" t="s">
        <v>1405</v>
      </c>
      <c r="G393" s="2" t="s">
        <v>1406</v>
      </c>
      <c r="H393" s="2" t="s">
        <v>41</v>
      </c>
      <c r="I393" s="2" t="s">
        <v>245</v>
      </c>
      <c r="J393" s="2" t="s">
        <v>43</v>
      </c>
      <c r="K393" s="2" t="s">
        <v>1407</v>
      </c>
      <c r="L393" s="2" t="s">
        <v>1408</v>
      </c>
    </row>
    <row r="394" customFormat="false" ht="15" hidden="false" customHeight="false" outlineLevel="0" collapsed="false">
      <c r="C394" s="2" t="s">
        <v>1409</v>
      </c>
      <c r="D394" s="2" t="s">
        <v>222</v>
      </c>
      <c r="E394" s="2" t="s">
        <v>1345</v>
      </c>
      <c r="F394" s="2" t="s">
        <v>1345</v>
      </c>
      <c r="G394" s="2" t="s">
        <v>1410</v>
      </c>
      <c r="H394" s="2" t="s">
        <v>236</v>
      </c>
      <c r="I394" s="2" t="s">
        <v>225</v>
      </c>
      <c r="J394" s="2" t="s">
        <v>43</v>
      </c>
    </row>
    <row r="395" customFormat="false" ht="15" hidden="false" customHeight="false" outlineLevel="0" collapsed="false">
      <c r="C395" s="2" t="s">
        <v>1411</v>
      </c>
      <c r="D395" s="2" t="s">
        <v>37</v>
      </c>
      <c r="E395" s="2" t="s">
        <v>422</v>
      </c>
      <c r="F395" s="2" t="s">
        <v>1412</v>
      </c>
      <c r="G395" s="2" t="s">
        <v>1413</v>
      </c>
      <c r="H395" s="2" t="s">
        <v>41</v>
      </c>
      <c r="I395" s="2" t="s">
        <v>161</v>
      </c>
      <c r="J395" s="2" t="s">
        <v>43</v>
      </c>
      <c r="K395" s="2" t="s">
        <v>513</v>
      </c>
      <c r="L395" s="2" t="s">
        <v>164</v>
      </c>
    </row>
    <row r="396" customFormat="false" ht="15" hidden="false" customHeight="false" outlineLevel="0" collapsed="false">
      <c r="C396" s="2" t="s">
        <v>1414</v>
      </c>
      <c r="D396" s="2" t="s">
        <v>37</v>
      </c>
      <c r="E396" s="2" t="s">
        <v>578</v>
      </c>
      <c r="F396" s="2" t="s">
        <v>93</v>
      </c>
      <c r="G396" s="2" t="s">
        <v>1415</v>
      </c>
      <c r="H396" s="2" t="s">
        <v>41</v>
      </c>
      <c r="I396" s="2" t="s">
        <v>168</v>
      </c>
      <c r="J396" s="2" t="s">
        <v>90</v>
      </c>
      <c r="K396" s="2" t="s">
        <v>1416</v>
      </c>
    </row>
    <row r="397" customFormat="false" ht="15" hidden="false" customHeight="false" outlineLevel="0" collapsed="false">
      <c r="C397" s="2" t="s">
        <v>1417</v>
      </c>
      <c r="D397" s="2" t="s">
        <v>37</v>
      </c>
      <c r="E397" s="2" t="s">
        <v>77</v>
      </c>
      <c r="F397" s="2" t="s">
        <v>223</v>
      </c>
      <c r="G397" s="2" t="s">
        <v>1418</v>
      </c>
      <c r="H397" s="2" t="s">
        <v>41</v>
      </c>
      <c r="I397" s="2" t="s">
        <v>175</v>
      </c>
      <c r="J397" s="2" t="s">
        <v>43</v>
      </c>
      <c r="K397" s="2" t="s">
        <v>1419</v>
      </c>
    </row>
    <row r="398" customFormat="false" ht="15" hidden="false" customHeight="false" outlineLevel="0" collapsed="false">
      <c r="C398" s="2" t="s">
        <v>1420</v>
      </c>
      <c r="D398" s="2" t="s">
        <v>37</v>
      </c>
      <c r="E398" s="2" t="s">
        <v>1052</v>
      </c>
      <c r="F398" s="2" t="s">
        <v>1421</v>
      </c>
      <c r="G398" s="2" t="s">
        <v>1422</v>
      </c>
      <c r="H398" s="2" t="s">
        <v>41</v>
      </c>
      <c r="I398" s="2" t="s">
        <v>161</v>
      </c>
      <c r="K398" s="2" t="s">
        <v>1423</v>
      </c>
    </row>
    <row r="399" customFormat="false" ht="15" hidden="false" customHeight="false" outlineLevel="0" collapsed="false">
      <c r="C399" s="2" t="s">
        <v>1424</v>
      </c>
      <c r="D399" s="2" t="s">
        <v>917</v>
      </c>
      <c r="E399" s="2" t="s">
        <v>647</v>
      </c>
      <c r="F399" s="2" t="s">
        <v>647</v>
      </c>
      <c r="G399" s="2" t="s">
        <v>1425</v>
      </c>
      <c r="H399" s="2" t="s">
        <v>41</v>
      </c>
      <c r="J399" s="2" t="s">
        <v>55</v>
      </c>
      <c r="K399" s="2" t="s">
        <v>1426</v>
      </c>
    </row>
    <row r="400" customFormat="false" ht="15" hidden="false" customHeight="false" outlineLevel="0" collapsed="false">
      <c r="C400" s="2" t="s">
        <v>1427</v>
      </c>
      <c r="D400" s="2" t="s">
        <v>37</v>
      </c>
      <c r="E400" s="2" t="s">
        <v>94</v>
      </c>
      <c r="G400" s="2" t="s">
        <v>1428</v>
      </c>
      <c r="H400" s="2" t="s">
        <v>41</v>
      </c>
      <c r="I400" s="2" t="s">
        <v>161</v>
      </c>
      <c r="J400" s="2" t="s">
        <v>55</v>
      </c>
      <c r="K400" s="2" t="s">
        <v>1429</v>
      </c>
    </row>
    <row r="401" customFormat="false" ht="15" hidden="false" customHeight="false" outlineLevel="0" collapsed="false">
      <c r="C401" s="2" t="s">
        <v>1430</v>
      </c>
      <c r="D401" s="2" t="s">
        <v>37</v>
      </c>
      <c r="E401" s="2" t="s">
        <v>1135</v>
      </c>
      <c r="G401" s="2" t="s">
        <v>1012</v>
      </c>
      <c r="J401" s="2" t="s">
        <v>43</v>
      </c>
      <c r="K401" s="2" t="s">
        <v>1431</v>
      </c>
    </row>
    <row r="402" customFormat="false" ht="15" hidden="false" customHeight="false" outlineLevel="0" collapsed="false">
      <c r="C402" s="2" t="s">
        <v>124</v>
      </c>
      <c r="G402" s="2" t="s">
        <v>1432</v>
      </c>
      <c r="H402" s="2" t="s">
        <v>41</v>
      </c>
    </row>
    <row r="404" customFormat="false" ht="15" hidden="false" customHeight="false" outlineLevel="0" collapsed="false">
      <c r="A404" s="2" t="s">
        <v>1433</v>
      </c>
      <c r="B404" s="2" t="s">
        <v>1434</v>
      </c>
      <c r="C404" s="2" t="s">
        <v>1435</v>
      </c>
      <c r="D404" s="2" t="s">
        <v>344</v>
      </c>
      <c r="E404" s="2" t="s">
        <v>313</v>
      </c>
      <c r="F404" s="2" t="s">
        <v>313</v>
      </c>
      <c r="G404" s="2" t="s">
        <v>1436</v>
      </c>
      <c r="H404" s="2" t="s">
        <v>41</v>
      </c>
      <c r="J404" s="2" t="s">
        <v>443</v>
      </c>
    </row>
    <row r="405" customFormat="false" ht="15" hidden="false" customHeight="false" outlineLevel="0" collapsed="false">
      <c r="C405" s="2" t="s">
        <v>1437</v>
      </c>
      <c r="D405" s="2" t="s">
        <v>171</v>
      </c>
      <c r="E405" s="2" t="s">
        <v>1438</v>
      </c>
      <c r="F405" s="2" t="s">
        <v>1439</v>
      </c>
      <c r="G405" s="2" t="s">
        <v>1440</v>
      </c>
      <c r="H405" s="2" t="s">
        <v>41</v>
      </c>
      <c r="I405" s="2" t="s">
        <v>803</v>
      </c>
      <c r="J405" s="2" t="s">
        <v>132</v>
      </c>
      <c r="K405" s="2" t="s">
        <v>1441</v>
      </c>
    </row>
    <row r="406" customFormat="false" ht="15" hidden="false" customHeight="false" outlineLevel="0" collapsed="false">
      <c r="C406" s="2" t="s">
        <v>1442</v>
      </c>
      <c r="D406" s="2" t="s">
        <v>37</v>
      </c>
      <c r="E406" s="2" t="s">
        <v>1443</v>
      </c>
      <c r="F406" s="2" t="s">
        <v>692</v>
      </c>
      <c r="G406" s="2" t="s">
        <v>1444</v>
      </c>
      <c r="H406" s="2" t="s">
        <v>41</v>
      </c>
      <c r="I406" s="2" t="s">
        <v>865</v>
      </c>
      <c r="J406" s="2" t="s">
        <v>137</v>
      </c>
    </row>
    <row r="407" customFormat="false" ht="15" hidden="false" customHeight="false" outlineLevel="0" collapsed="false">
      <c r="C407" s="2" t="s">
        <v>1445</v>
      </c>
      <c r="D407" s="2" t="s">
        <v>37</v>
      </c>
      <c r="E407" s="2" t="s">
        <v>1150</v>
      </c>
      <c r="F407" s="2" t="s">
        <v>78</v>
      </c>
      <c r="G407" s="2" t="s">
        <v>1446</v>
      </c>
      <c r="H407" s="2" t="s">
        <v>41</v>
      </c>
      <c r="I407" s="2" t="s">
        <v>219</v>
      </c>
      <c r="J407" s="2" t="s">
        <v>332</v>
      </c>
    </row>
    <row r="408" customFormat="false" ht="15" hidden="false" customHeight="false" outlineLevel="0" collapsed="false">
      <c r="C408" s="2" t="s">
        <v>1447</v>
      </c>
      <c r="D408" s="2" t="s">
        <v>281</v>
      </c>
      <c r="E408" s="2" t="s">
        <v>1448</v>
      </c>
      <c r="F408" s="2" t="s">
        <v>1449</v>
      </c>
      <c r="G408" s="2" t="s">
        <v>1450</v>
      </c>
      <c r="H408" s="2" t="s">
        <v>236</v>
      </c>
      <c r="I408" s="2" t="s">
        <v>865</v>
      </c>
      <c r="J408" s="2" t="s">
        <v>137</v>
      </c>
      <c r="K408" s="2" t="s">
        <v>1451</v>
      </c>
    </row>
    <row r="409" customFormat="false" ht="15" hidden="false" customHeight="false" outlineLevel="0" collapsed="false">
      <c r="A409" s="2" t="s">
        <v>1452</v>
      </c>
    </row>
    <row r="411" customFormat="false" ht="15" hidden="false" customHeight="false" outlineLevel="0" collapsed="false">
      <c r="A411" s="2" t="s">
        <v>17</v>
      </c>
      <c r="G411" s="2" t="s">
        <v>261</v>
      </c>
    </row>
    <row r="412" customFormat="false" ht="15" hidden="false" customHeight="false" outlineLevel="0" collapsed="false">
      <c r="A412" s="2" t="s">
        <v>22</v>
      </c>
      <c r="B412" s="2" t="s">
        <v>23</v>
      </c>
      <c r="C412" s="2" t="s">
        <v>24</v>
      </c>
      <c r="D412" s="2" t="s">
        <v>25</v>
      </c>
      <c r="E412" s="2" t="s">
        <v>26</v>
      </c>
      <c r="F412" s="2" t="s">
        <v>27</v>
      </c>
      <c r="G412" s="2" t="s">
        <v>28</v>
      </c>
      <c r="H412" s="2" t="s">
        <v>29</v>
      </c>
      <c r="I412" s="2" t="s">
        <v>30</v>
      </c>
      <c r="J412" s="2" t="s">
        <v>31</v>
      </c>
      <c r="K412" s="2" t="s">
        <v>32</v>
      </c>
      <c r="L412" s="2" t="s">
        <v>33</v>
      </c>
    </row>
    <row r="413" customFormat="false" ht="15" hidden="false" customHeight="false" outlineLevel="0" collapsed="false">
      <c r="C413" s="2" t="s">
        <v>1447</v>
      </c>
      <c r="D413" s="2" t="s">
        <v>281</v>
      </c>
      <c r="E413" s="2" t="s">
        <v>1448</v>
      </c>
      <c r="F413" s="2" t="s">
        <v>1449</v>
      </c>
      <c r="G413" s="2" t="s">
        <v>1450</v>
      </c>
      <c r="H413" s="2" t="s">
        <v>236</v>
      </c>
      <c r="I413" s="2" t="s">
        <v>865</v>
      </c>
      <c r="J413" s="2" t="s">
        <v>137</v>
      </c>
      <c r="K413" s="2" t="s">
        <v>1451</v>
      </c>
    </row>
    <row r="414" customFormat="false" ht="15" hidden="false" customHeight="false" outlineLevel="0" collapsed="false">
      <c r="C414" s="2" t="s">
        <v>1453</v>
      </c>
      <c r="D414" s="2" t="s">
        <v>37</v>
      </c>
      <c r="E414" s="2" t="s">
        <v>1454</v>
      </c>
      <c r="F414" s="2" t="s">
        <v>1455</v>
      </c>
      <c r="G414" s="2" t="s">
        <v>1277</v>
      </c>
      <c r="H414" s="2" t="s">
        <v>41</v>
      </c>
      <c r="I414" s="2" t="s">
        <v>219</v>
      </c>
      <c r="J414" s="2" t="s">
        <v>132</v>
      </c>
    </row>
    <row r="415" customFormat="false" ht="15" hidden="false" customHeight="false" outlineLevel="0" collapsed="false">
      <c r="C415" s="2" t="s">
        <v>1456</v>
      </c>
      <c r="D415" s="2" t="s">
        <v>37</v>
      </c>
      <c r="E415" s="2" t="s">
        <v>1457</v>
      </c>
      <c r="F415" s="2" t="s">
        <v>665</v>
      </c>
      <c r="G415" s="2" t="s">
        <v>1458</v>
      </c>
      <c r="H415" s="2" t="s">
        <v>41</v>
      </c>
      <c r="J415" s="2" t="s">
        <v>137</v>
      </c>
      <c r="K415" s="2" t="s">
        <v>1459</v>
      </c>
    </row>
    <row r="416" customFormat="false" ht="15" hidden="false" customHeight="false" outlineLevel="0" collapsed="false">
      <c r="C416" s="2" t="s">
        <v>1460</v>
      </c>
      <c r="D416" s="2" t="s">
        <v>37</v>
      </c>
      <c r="E416" s="2" t="s">
        <v>144</v>
      </c>
      <c r="F416" s="2" t="s">
        <v>298</v>
      </c>
      <c r="G416" s="2" t="s">
        <v>1461</v>
      </c>
      <c r="H416" s="2" t="s">
        <v>41</v>
      </c>
      <c r="I416" s="2" t="s">
        <v>219</v>
      </c>
      <c r="J416" s="2" t="s">
        <v>132</v>
      </c>
      <c r="K416" s="2" t="s">
        <v>1462</v>
      </c>
    </row>
    <row r="417" customFormat="false" ht="15" hidden="false" customHeight="false" outlineLevel="0" collapsed="false">
      <c r="C417" s="2" t="s">
        <v>1463</v>
      </c>
      <c r="D417" s="2" t="s">
        <v>37</v>
      </c>
      <c r="E417" s="2" t="s">
        <v>1464</v>
      </c>
      <c r="F417" s="2" t="s">
        <v>1465</v>
      </c>
      <c r="G417" s="2" t="s">
        <v>1466</v>
      </c>
      <c r="H417" s="2" t="s">
        <v>41</v>
      </c>
      <c r="I417" s="2" t="s">
        <v>865</v>
      </c>
      <c r="J417" s="2" t="s">
        <v>137</v>
      </c>
      <c r="K417" s="2" t="s">
        <v>1467</v>
      </c>
    </row>
    <row r="418" customFormat="false" ht="15" hidden="false" customHeight="false" outlineLevel="0" collapsed="false">
      <c r="C418" s="2" t="s">
        <v>1468</v>
      </c>
      <c r="D418" s="2" t="s">
        <v>917</v>
      </c>
      <c r="E418" s="2" t="s">
        <v>210</v>
      </c>
      <c r="F418" s="2" t="s">
        <v>210</v>
      </c>
      <c r="G418" s="2" t="s">
        <v>1469</v>
      </c>
      <c r="H418" s="2" t="s">
        <v>41</v>
      </c>
      <c r="J418" s="2" t="s">
        <v>132</v>
      </c>
      <c r="K418" s="2" t="s">
        <v>1470</v>
      </c>
    </row>
    <row r="419" customFormat="false" ht="15" hidden="false" customHeight="false" outlineLevel="0" collapsed="false">
      <c r="C419" s="2" t="s">
        <v>1471</v>
      </c>
      <c r="D419" s="2" t="s">
        <v>281</v>
      </c>
      <c r="E419" s="2" t="s">
        <v>705</v>
      </c>
      <c r="F419" s="2" t="s">
        <v>555</v>
      </c>
      <c r="G419" s="2" t="s">
        <v>1472</v>
      </c>
      <c r="H419" s="2" t="s">
        <v>41</v>
      </c>
      <c r="I419" s="2" t="s">
        <v>442</v>
      </c>
      <c r="K419" s="2" t="s">
        <v>1473</v>
      </c>
    </row>
    <row r="420" customFormat="false" ht="15" hidden="false" customHeight="false" outlineLevel="0" collapsed="false">
      <c r="C420" s="2" t="s">
        <v>1474</v>
      </c>
      <c r="D420" s="2" t="s">
        <v>274</v>
      </c>
      <c r="E420" s="2" t="s">
        <v>823</v>
      </c>
      <c r="F420" s="2" t="s">
        <v>1475</v>
      </c>
      <c r="G420" s="2" t="s">
        <v>1476</v>
      </c>
      <c r="H420" s="2" t="s">
        <v>41</v>
      </c>
      <c r="I420" s="2" t="s">
        <v>219</v>
      </c>
      <c r="K420" s="2" t="s">
        <v>1477</v>
      </c>
    </row>
    <row r="421" customFormat="false" ht="15" hidden="false" customHeight="false" outlineLevel="0" collapsed="false">
      <c r="C421" s="2" t="s">
        <v>1478</v>
      </c>
      <c r="D421" s="2" t="s">
        <v>37</v>
      </c>
      <c r="E421" s="2" t="s">
        <v>228</v>
      </c>
      <c r="F421" s="2" t="s">
        <v>841</v>
      </c>
      <c r="G421" s="2" t="s">
        <v>1479</v>
      </c>
      <c r="H421" s="2" t="s">
        <v>41</v>
      </c>
      <c r="I421" s="2" t="s">
        <v>42</v>
      </c>
      <c r="K421" s="2" t="s">
        <v>1480</v>
      </c>
    </row>
    <row r="422" customFormat="false" ht="15" hidden="false" customHeight="false" outlineLevel="0" collapsed="false">
      <c r="C422" s="2" t="s">
        <v>1481</v>
      </c>
      <c r="D422" s="2" t="s">
        <v>129</v>
      </c>
      <c r="E422" s="2" t="s">
        <v>621</v>
      </c>
      <c r="F422" s="2" t="s">
        <v>621</v>
      </c>
      <c r="G422" s="2" t="s">
        <v>1482</v>
      </c>
      <c r="H422" s="2" t="s">
        <v>41</v>
      </c>
      <c r="J422" s="2" t="s">
        <v>443</v>
      </c>
      <c r="K422" s="2" t="s">
        <v>226</v>
      </c>
    </row>
    <row r="423" customFormat="false" ht="15" hidden="false" customHeight="false" outlineLevel="0" collapsed="false">
      <c r="C423" s="2" t="s">
        <v>1483</v>
      </c>
      <c r="D423" s="2" t="s">
        <v>37</v>
      </c>
      <c r="E423" s="2" t="s">
        <v>242</v>
      </c>
      <c r="F423" s="2" t="s">
        <v>1484</v>
      </c>
      <c r="G423" s="2" t="s">
        <v>1485</v>
      </c>
      <c r="H423" s="2" t="s">
        <v>236</v>
      </c>
      <c r="I423" s="2" t="s">
        <v>417</v>
      </c>
      <c r="J423" s="2" t="s">
        <v>332</v>
      </c>
    </row>
    <row r="424" customFormat="false" ht="15" hidden="false" customHeight="false" outlineLevel="0" collapsed="false">
      <c r="C424" s="2" t="s">
        <v>1486</v>
      </c>
      <c r="D424" s="2" t="s">
        <v>37</v>
      </c>
      <c r="E424" s="2" t="s">
        <v>233</v>
      </c>
      <c r="F424" s="2" t="s">
        <v>607</v>
      </c>
      <c r="G424" s="2" t="s">
        <v>1487</v>
      </c>
      <c r="H424" s="2" t="s">
        <v>41</v>
      </c>
      <c r="I424" s="2" t="s">
        <v>219</v>
      </c>
      <c r="J424" s="2" t="s">
        <v>137</v>
      </c>
      <c r="K424" s="2" t="s">
        <v>1488</v>
      </c>
    </row>
    <row r="425" customFormat="false" ht="15" hidden="false" customHeight="false" outlineLevel="0" collapsed="false">
      <c r="C425" s="2" t="s">
        <v>1489</v>
      </c>
      <c r="D425" s="2" t="s">
        <v>37</v>
      </c>
      <c r="E425" s="2" t="s">
        <v>1490</v>
      </c>
      <c r="G425" s="2" t="s">
        <v>1491</v>
      </c>
      <c r="H425" s="2" t="s">
        <v>41</v>
      </c>
      <c r="I425" s="2" t="s">
        <v>442</v>
      </c>
      <c r="J425" s="2" t="s">
        <v>132</v>
      </c>
      <c r="K425" s="2" t="s">
        <v>1492</v>
      </c>
    </row>
    <row r="426" customFormat="false" ht="15" hidden="false" customHeight="false" outlineLevel="0" collapsed="false">
      <c r="C426" s="2" t="s">
        <v>1493</v>
      </c>
      <c r="D426" s="2" t="s">
        <v>37</v>
      </c>
      <c r="E426" s="2" t="s">
        <v>298</v>
      </c>
      <c r="F426" s="2" t="s">
        <v>1494</v>
      </c>
      <c r="G426" s="2" t="s">
        <v>1495</v>
      </c>
      <c r="H426" s="2" t="s">
        <v>41</v>
      </c>
      <c r="I426" s="2" t="s">
        <v>417</v>
      </c>
      <c r="J426" s="2" t="s">
        <v>443</v>
      </c>
      <c r="K426" s="2" t="s">
        <v>1496</v>
      </c>
    </row>
    <row r="427" customFormat="false" ht="15" hidden="false" customHeight="false" outlineLevel="0" collapsed="false">
      <c r="C427" s="2" t="s">
        <v>1497</v>
      </c>
      <c r="D427" s="2" t="s">
        <v>274</v>
      </c>
      <c r="E427" s="2" t="s">
        <v>357</v>
      </c>
      <c r="F427" s="2" t="s">
        <v>1498</v>
      </c>
      <c r="G427" s="2" t="s">
        <v>1499</v>
      </c>
      <c r="H427" s="2" t="s">
        <v>41</v>
      </c>
      <c r="I427" s="2" t="s">
        <v>161</v>
      </c>
      <c r="J427" s="2" t="s">
        <v>332</v>
      </c>
      <c r="K427" s="2" t="s">
        <v>1500</v>
      </c>
    </row>
    <row r="428" customFormat="false" ht="15" hidden="false" customHeight="false" outlineLevel="0" collapsed="false">
      <c r="C428" s="2" t="s">
        <v>124</v>
      </c>
      <c r="G428" s="2" t="s">
        <v>1501</v>
      </c>
      <c r="H428" s="2" t="s">
        <v>41</v>
      </c>
    </row>
    <row r="429" customFormat="false" ht="15" hidden="false" customHeight="false" outlineLevel="0" collapsed="false">
      <c r="A429" s="2" t="s">
        <v>1502</v>
      </c>
      <c r="B429" s="2" t="s">
        <v>1503</v>
      </c>
      <c r="C429" s="2" t="s">
        <v>1504</v>
      </c>
      <c r="D429" s="2" t="s">
        <v>37</v>
      </c>
      <c r="E429" s="2" t="s">
        <v>1505</v>
      </c>
      <c r="F429" s="2" t="s">
        <v>1506</v>
      </c>
      <c r="G429" s="2" t="s">
        <v>1507</v>
      </c>
      <c r="H429" s="2" t="s">
        <v>41</v>
      </c>
      <c r="I429" s="2" t="s">
        <v>161</v>
      </c>
      <c r="J429" s="2" t="s">
        <v>571</v>
      </c>
      <c r="K429" s="2" t="s">
        <v>1508</v>
      </c>
    </row>
    <row r="430" customFormat="false" ht="15" hidden="false" customHeight="false" outlineLevel="0" collapsed="false">
      <c r="C430" s="2" t="s">
        <v>1509</v>
      </c>
      <c r="D430" s="2" t="s">
        <v>37</v>
      </c>
      <c r="E430" s="2" t="s">
        <v>447</v>
      </c>
      <c r="F430" s="2" t="s">
        <v>1510</v>
      </c>
      <c r="G430" s="2" t="s">
        <v>1511</v>
      </c>
      <c r="H430" s="2" t="s">
        <v>236</v>
      </c>
      <c r="I430" s="2" t="s">
        <v>175</v>
      </c>
      <c r="J430" s="2" t="s">
        <v>592</v>
      </c>
    </row>
    <row r="431" customFormat="false" ht="15" hidden="false" customHeight="false" outlineLevel="0" collapsed="false">
      <c r="C431" s="2" t="s">
        <v>1512</v>
      </c>
      <c r="D431" s="2" t="s">
        <v>37</v>
      </c>
      <c r="E431" s="2" t="s">
        <v>1513</v>
      </c>
      <c r="F431" s="2" t="s">
        <v>811</v>
      </c>
      <c r="G431" s="2" t="s">
        <v>1514</v>
      </c>
      <c r="H431" s="2" t="s">
        <v>41</v>
      </c>
      <c r="I431" s="2" t="s">
        <v>168</v>
      </c>
      <c r="J431" s="2" t="s">
        <v>775</v>
      </c>
      <c r="K431" s="2" t="s">
        <v>1515</v>
      </c>
    </row>
    <row r="432" customFormat="false" ht="15" hidden="false" customHeight="false" outlineLevel="0" collapsed="false">
      <c r="C432" s="2" t="s">
        <v>1516</v>
      </c>
      <c r="D432" s="2" t="s">
        <v>37</v>
      </c>
      <c r="E432" s="2" t="s">
        <v>52</v>
      </c>
      <c r="F432" s="2" t="s">
        <v>504</v>
      </c>
      <c r="G432" s="2" t="s">
        <v>1517</v>
      </c>
      <c r="H432" s="2" t="s">
        <v>236</v>
      </c>
      <c r="I432" s="2" t="s">
        <v>161</v>
      </c>
      <c r="J432" s="2" t="s">
        <v>571</v>
      </c>
      <c r="K432" s="2" t="s">
        <v>307</v>
      </c>
    </row>
    <row r="433" customFormat="false" ht="15" hidden="false" customHeight="false" outlineLevel="0" collapsed="false">
      <c r="C433" s="2" t="s">
        <v>1518</v>
      </c>
      <c r="D433" s="2" t="s">
        <v>37</v>
      </c>
      <c r="E433" s="2" t="s">
        <v>1312</v>
      </c>
      <c r="F433" s="2" t="s">
        <v>1519</v>
      </c>
      <c r="G433" s="2" t="s">
        <v>1520</v>
      </c>
      <c r="H433" s="2" t="s">
        <v>41</v>
      </c>
      <c r="I433" s="2" t="s">
        <v>168</v>
      </c>
      <c r="J433" s="2" t="s">
        <v>571</v>
      </c>
      <c r="K433" s="2" t="s">
        <v>1521</v>
      </c>
    </row>
    <row r="434" customFormat="false" ht="15" hidden="false" customHeight="false" outlineLevel="0" collapsed="false">
      <c r="C434" s="2" t="s">
        <v>1522</v>
      </c>
      <c r="D434" s="2" t="s">
        <v>281</v>
      </c>
      <c r="E434" s="2" t="s">
        <v>1240</v>
      </c>
      <c r="F434" s="2" t="s">
        <v>1523</v>
      </c>
      <c r="G434" s="2" t="s">
        <v>1524</v>
      </c>
      <c r="H434" s="2" t="s">
        <v>41</v>
      </c>
      <c r="I434" s="2" t="s">
        <v>122</v>
      </c>
      <c r="J434" s="2" t="s">
        <v>580</v>
      </c>
      <c r="K434" s="2" t="s">
        <v>1525</v>
      </c>
    </row>
    <row r="435" customFormat="false" ht="15" hidden="false" customHeight="false" outlineLevel="0" collapsed="false">
      <c r="C435" s="2" t="s">
        <v>1526</v>
      </c>
      <c r="D435" s="2" t="s">
        <v>171</v>
      </c>
      <c r="E435" s="2" t="s">
        <v>1527</v>
      </c>
      <c r="F435" s="2" t="s">
        <v>1112</v>
      </c>
      <c r="G435" s="2" t="s">
        <v>1528</v>
      </c>
      <c r="H435" s="2" t="s">
        <v>41</v>
      </c>
      <c r="I435" s="2" t="s">
        <v>175</v>
      </c>
      <c r="J435" s="2" t="s">
        <v>775</v>
      </c>
      <c r="L435" s="2" t="s">
        <v>645</v>
      </c>
    </row>
    <row r="436" customFormat="false" ht="15" hidden="false" customHeight="false" outlineLevel="0" collapsed="false">
      <c r="C436" s="2" t="s">
        <v>1529</v>
      </c>
      <c r="D436" s="2" t="s">
        <v>37</v>
      </c>
      <c r="E436" s="2" t="s">
        <v>1530</v>
      </c>
      <c r="F436" s="2" t="s">
        <v>1531</v>
      </c>
      <c r="G436" s="2" t="s">
        <v>1532</v>
      </c>
      <c r="H436" s="2" t="s">
        <v>41</v>
      </c>
      <c r="I436" s="2" t="s">
        <v>168</v>
      </c>
      <c r="J436" s="2" t="s">
        <v>580</v>
      </c>
      <c r="K436" s="2" t="s">
        <v>667</v>
      </c>
    </row>
    <row r="437" customFormat="false" ht="15" hidden="false" customHeight="false" outlineLevel="0" collapsed="false">
      <c r="C437" s="2" t="s">
        <v>1533</v>
      </c>
      <c r="D437" s="2" t="s">
        <v>37</v>
      </c>
      <c r="E437" s="2" t="s">
        <v>386</v>
      </c>
      <c r="F437" s="2" t="s">
        <v>1128</v>
      </c>
      <c r="G437" s="2" t="s">
        <v>1534</v>
      </c>
      <c r="H437" s="2" t="s">
        <v>41</v>
      </c>
      <c r="I437" s="2" t="s">
        <v>161</v>
      </c>
      <c r="J437" s="2" t="s">
        <v>775</v>
      </c>
      <c r="K437" s="2" t="s">
        <v>1535</v>
      </c>
    </row>
    <row r="438" customFormat="false" ht="15" hidden="false" customHeight="false" outlineLevel="0" collapsed="false">
      <c r="C438" s="2" t="s">
        <v>1536</v>
      </c>
      <c r="D438" s="2" t="s">
        <v>37</v>
      </c>
      <c r="E438" s="2" t="s">
        <v>242</v>
      </c>
      <c r="F438" s="2" t="s">
        <v>243</v>
      </c>
      <c r="G438" s="2" t="s">
        <v>1537</v>
      </c>
      <c r="H438" s="2" t="s">
        <v>41</v>
      </c>
      <c r="J438" s="2" t="s">
        <v>592</v>
      </c>
    </row>
    <row r="439" customFormat="false" ht="15" hidden="false" customHeight="false" outlineLevel="0" collapsed="false">
      <c r="C439" s="2" t="s">
        <v>1538</v>
      </c>
      <c r="D439" s="2" t="s">
        <v>274</v>
      </c>
      <c r="E439" s="2" t="s">
        <v>1539</v>
      </c>
      <c r="F439" s="2" t="s">
        <v>854</v>
      </c>
      <c r="G439" s="2" t="s">
        <v>1540</v>
      </c>
      <c r="H439" s="2" t="s">
        <v>41</v>
      </c>
      <c r="I439" s="2" t="s">
        <v>161</v>
      </c>
      <c r="J439" s="2" t="s">
        <v>571</v>
      </c>
      <c r="K439" s="2" t="s">
        <v>1541</v>
      </c>
    </row>
    <row r="440" customFormat="false" ht="15" hidden="false" customHeight="false" outlineLevel="0" collapsed="false">
      <c r="C440" s="2" t="s">
        <v>1542</v>
      </c>
      <c r="D440" s="2" t="s">
        <v>37</v>
      </c>
      <c r="E440" s="2" t="s">
        <v>304</v>
      </c>
      <c r="F440" s="2" t="s">
        <v>305</v>
      </c>
      <c r="G440" s="2" t="s">
        <v>1543</v>
      </c>
      <c r="H440" s="2" t="s">
        <v>61</v>
      </c>
      <c r="I440" s="2" t="s">
        <v>161</v>
      </c>
      <c r="J440" s="2" t="s">
        <v>775</v>
      </c>
      <c r="K440" s="2" t="s">
        <v>1544</v>
      </c>
    </row>
    <row r="441" customFormat="false" ht="15" hidden="false" customHeight="false" outlineLevel="0" collapsed="false">
      <c r="C441" s="2" t="s">
        <v>124</v>
      </c>
      <c r="G441" s="2" t="s">
        <v>1545</v>
      </c>
      <c r="H441" s="2" t="s">
        <v>41</v>
      </c>
    </row>
    <row r="442" customFormat="false" ht="15" hidden="false" customHeight="false" outlineLevel="0" collapsed="false">
      <c r="A442" s="2" t="s">
        <v>1546</v>
      </c>
      <c r="B442" s="2" t="s">
        <v>1547</v>
      </c>
      <c r="C442" s="2" t="s">
        <v>1548</v>
      </c>
      <c r="D442" s="2" t="s">
        <v>37</v>
      </c>
      <c r="E442" s="2" t="s">
        <v>1549</v>
      </c>
      <c r="F442" s="2" t="s">
        <v>1550</v>
      </c>
      <c r="G442" s="2" t="s">
        <v>1551</v>
      </c>
      <c r="H442" s="2" t="s">
        <v>41</v>
      </c>
      <c r="I442" s="2" t="s">
        <v>42</v>
      </c>
      <c r="K442" s="2" t="s">
        <v>1552</v>
      </c>
    </row>
    <row r="443" customFormat="false" ht="15" hidden="false" customHeight="false" outlineLevel="0" collapsed="false">
      <c r="C443" s="2" t="s">
        <v>1553</v>
      </c>
      <c r="D443" s="2" t="s">
        <v>37</v>
      </c>
      <c r="E443" s="2" t="s">
        <v>898</v>
      </c>
      <c r="F443" s="2" t="s">
        <v>93</v>
      </c>
      <c r="G443" s="2" t="s">
        <v>1554</v>
      </c>
      <c r="H443" s="2" t="s">
        <v>41</v>
      </c>
      <c r="J443" s="2" t="s">
        <v>728</v>
      </c>
      <c r="L443" s="2" t="s">
        <v>624</v>
      </c>
    </row>
    <row r="444" customFormat="false" ht="15" hidden="false" customHeight="false" outlineLevel="0" collapsed="false">
      <c r="C444" s="2" t="s">
        <v>1555</v>
      </c>
      <c r="D444" s="2" t="s">
        <v>37</v>
      </c>
      <c r="E444" s="2" t="s">
        <v>647</v>
      </c>
      <c r="F444" s="2" t="s">
        <v>582</v>
      </c>
      <c r="G444" s="2" t="s">
        <v>1556</v>
      </c>
      <c r="H444" s="2" t="s">
        <v>41</v>
      </c>
      <c r="I444" s="2" t="s">
        <v>67</v>
      </c>
      <c r="J444" s="2" t="s">
        <v>728</v>
      </c>
      <c r="K444" s="2" t="s">
        <v>1557</v>
      </c>
    </row>
    <row r="445" customFormat="false" ht="15" hidden="false" customHeight="false" outlineLevel="0" collapsed="false">
      <c r="C445" s="2" t="s">
        <v>1558</v>
      </c>
      <c r="D445" s="2" t="s">
        <v>37</v>
      </c>
      <c r="E445" s="2" t="s">
        <v>1265</v>
      </c>
      <c r="F445" s="2" t="s">
        <v>665</v>
      </c>
      <c r="G445" s="2" t="s">
        <v>1559</v>
      </c>
      <c r="H445" s="2" t="s">
        <v>41</v>
      </c>
      <c r="I445" s="2" t="s">
        <v>67</v>
      </c>
      <c r="J445" s="2" t="s">
        <v>748</v>
      </c>
      <c r="K445" s="2" t="s">
        <v>1560</v>
      </c>
    </row>
    <row r="446" customFormat="false" ht="15" hidden="false" customHeight="false" outlineLevel="0" collapsed="false">
      <c r="C446" s="2" t="s">
        <v>124</v>
      </c>
      <c r="G446" s="2" t="s">
        <v>1561</v>
      </c>
      <c r="H446" s="2" t="s">
        <v>41</v>
      </c>
    </row>
    <row r="447" customFormat="false" ht="15" hidden="false" customHeight="false" outlineLevel="0" collapsed="false">
      <c r="A447" s="2" t="s">
        <v>1562</v>
      </c>
      <c r="B447" s="2" t="s">
        <v>1563</v>
      </c>
      <c r="C447" s="2" t="s">
        <v>1564</v>
      </c>
      <c r="D447" s="2" t="s">
        <v>37</v>
      </c>
      <c r="E447" s="2" t="s">
        <v>1565</v>
      </c>
      <c r="F447" s="2" t="s">
        <v>1566</v>
      </c>
      <c r="G447" s="2" t="s">
        <v>1567</v>
      </c>
      <c r="H447" s="2" t="s">
        <v>41</v>
      </c>
      <c r="I447" s="2" t="s">
        <v>42</v>
      </c>
      <c r="J447" s="2" t="s">
        <v>193</v>
      </c>
      <c r="K447" s="2" t="s">
        <v>1568</v>
      </c>
      <c r="L447" s="2" t="s">
        <v>1202</v>
      </c>
    </row>
    <row r="448" customFormat="false" ht="15" hidden="false" customHeight="false" outlineLevel="0" collapsed="false">
      <c r="C448" s="2" t="s">
        <v>1569</v>
      </c>
      <c r="D448" s="2" t="s">
        <v>46</v>
      </c>
      <c r="E448" s="2" t="s">
        <v>1570</v>
      </c>
      <c r="F448" s="2" t="s">
        <v>1570</v>
      </c>
      <c r="G448" s="2" t="s">
        <v>1571</v>
      </c>
      <c r="H448" s="2" t="s">
        <v>41</v>
      </c>
      <c r="J448" s="2" t="s">
        <v>728</v>
      </c>
    </row>
    <row r="449" customFormat="false" ht="15" hidden="false" customHeight="false" outlineLevel="0" collapsed="false">
      <c r="C449" s="2" t="s">
        <v>1572</v>
      </c>
      <c r="D449" s="2" t="s">
        <v>37</v>
      </c>
      <c r="E449" s="2" t="s">
        <v>1573</v>
      </c>
      <c r="G449" s="2" t="s">
        <v>1574</v>
      </c>
      <c r="H449" s="2" t="s">
        <v>236</v>
      </c>
      <c r="J449" s="2" t="s">
        <v>719</v>
      </c>
    </row>
    <row r="450" customFormat="false" ht="15" hidden="false" customHeight="false" outlineLevel="0" collapsed="false">
      <c r="C450" s="2" t="s">
        <v>1575</v>
      </c>
      <c r="D450" s="2" t="s">
        <v>37</v>
      </c>
      <c r="E450" s="2" t="s">
        <v>1576</v>
      </c>
      <c r="F450" s="2" t="s">
        <v>1577</v>
      </c>
      <c r="G450" s="2" t="s">
        <v>1578</v>
      </c>
      <c r="H450" s="2" t="s">
        <v>41</v>
      </c>
      <c r="I450" s="2" t="s">
        <v>320</v>
      </c>
      <c r="J450" s="2" t="s">
        <v>751</v>
      </c>
      <c r="K450" s="2" t="s">
        <v>1579</v>
      </c>
    </row>
    <row r="451" customFormat="false" ht="15" hidden="false" customHeight="false" outlineLevel="0" collapsed="false">
      <c r="C451" s="2" t="s">
        <v>1580</v>
      </c>
      <c r="D451" s="2" t="s">
        <v>344</v>
      </c>
      <c r="E451" s="2" t="s">
        <v>642</v>
      </c>
      <c r="F451" s="2" t="s">
        <v>642</v>
      </c>
      <c r="G451" s="2" t="s">
        <v>1581</v>
      </c>
      <c r="H451" s="2" t="s">
        <v>41</v>
      </c>
      <c r="J451" s="2" t="s">
        <v>728</v>
      </c>
    </row>
    <row r="452" customFormat="false" ht="15" hidden="false" customHeight="false" outlineLevel="0" collapsed="false">
      <c r="C452" s="2" t="s">
        <v>1582</v>
      </c>
      <c r="D452" s="2" t="s">
        <v>37</v>
      </c>
      <c r="E452" s="2" t="s">
        <v>938</v>
      </c>
      <c r="F452" s="2" t="s">
        <v>795</v>
      </c>
      <c r="G452" s="2" t="s">
        <v>1583</v>
      </c>
      <c r="H452" s="2" t="s">
        <v>236</v>
      </c>
      <c r="I452" s="2" t="s">
        <v>42</v>
      </c>
      <c r="J452" s="2" t="s">
        <v>728</v>
      </c>
      <c r="K452" s="2" t="s">
        <v>1584</v>
      </c>
    </row>
    <row r="453" customFormat="false" ht="15" hidden="false" customHeight="false" outlineLevel="0" collapsed="false">
      <c r="C453" s="2" t="s">
        <v>1585</v>
      </c>
      <c r="D453" s="2" t="s">
        <v>329</v>
      </c>
      <c r="E453" s="2" t="s">
        <v>1586</v>
      </c>
      <c r="F453" s="2" t="s">
        <v>1586</v>
      </c>
      <c r="G453" s="2" t="s">
        <v>1587</v>
      </c>
      <c r="H453" s="2" t="s">
        <v>61</v>
      </c>
      <c r="J453" s="2" t="s">
        <v>751</v>
      </c>
      <c r="K453" s="2" t="s">
        <v>1588</v>
      </c>
    </row>
    <row r="454" customFormat="false" ht="15" hidden="false" customHeight="false" outlineLevel="0" collapsed="false">
      <c r="C454" s="2" t="s">
        <v>1589</v>
      </c>
      <c r="D454" s="2" t="s">
        <v>37</v>
      </c>
      <c r="E454" s="2" t="s">
        <v>1318</v>
      </c>
      <c r="F454" s="2" t="s">
        <v>1590</v>
      </c>
      <c r="G454" s="2" t="s">
        <v>1591</v>
      </c>
      <c r="H454" s="2" t="s">
        <v>41</v>
      </c>
      <c r="I454" s="2" t="s">
        <v>42</v>
      </c>
      <c r="J454" s="2" t="s">
        <v>728</v>
      </c>
      <c r="K454" s="2" t="s">
        <v>1592</v>
      </c>
    </row>
    <row r="455" customFormat="false" ht="15" hidden="false" customHeight="false" outlineLevel="0" collapsed="false">
      <c r="C455" s="2" t="s">
        <v>1593</v>
      </c>
      <c r="D455" s="2" t="s">
        <v>329</v>
      </c>
      <c r="E455" s="2" t="s">
        <v>1594</v>
      </c>
      <c r="F455" s="2" t="s">
        <v>1594</v>
      </c>
      <c r="G455" s="2" t="s">
        <v>1595</v>
      </c>
      <c r="H455" s="2" t="s">
        <v>41</v>
      </c>
      <c r="J455" s="2" t="s">
        <v>1596</v>
      </c>
    </row>
    <row r="456" customFormat="false" ht="15" hidden="false" customHeight="false" outlineLevel="0" collapsed="false">
      <c r="C456" s="2" t="s">
        <v>1597</v>
      </c>
      <c r="D456" s="2" t="s">
        <v>37</v>
      </c>
      <c r="E456" s="2" t="s">
        <v>1383</v>
      </c>
      <c r="F456" s="2" t="s">
        <v>905</v>
      </c>
      <c r="G456" s="2" t="s">
        <v>1598</v>
      </c>
      <c r="H456" s="2" t="s">
        <v>41</v>
      </c>
      <c r="J456" s="2" t="s">
        <v>728</v>
      </c>
    </row>
    <row r="457" customFormat="false" ht="15" hidden="false" customHeight="false" outlineLevel="0" collapsed="false">
      <c r="C457" s="2" t="s">
        <v>1599</v>
      </c>
      <c r="D457" s="2" t="s">
        <v>37</v>
      </c>
      <c r="E457" s="2" t="s">
        <v>898</v>
      </c>
      <c r="F457" s="2" t="s">
        <v>93</v>
      </c>
      <c r="G457" s="2" t="s">
        <v>1600</v>
      </c>
      <c r="H457" s="2" t="s">
        <v>41</v>
      </c>
      <c r="I457" s="2" t="s">
        <v>122</v>
      </c>
      <c r="J457" s="2" t="s">
        <v>1596</v>
      </c>
      <c r="K457" s="2" t="s">
        <v>1601</v>
      </c>
    </row>
    <row r="458" customFormat="false" ht="15" hidden="false" customHeight="false" outlineLevel="0" collapsed="false">
      <c r="C458" s="2" t="s">
        <v>1602</v>
      </c>
      <c r="D458" s="2" t="s">
        <v>281</v>
      </c>
      <c r="E458" s="2" t="s">
        <v>269</v>
      </c>
      <c r="F458" s="2" t="s">
        <v>379</v>
      </c>
      <c r="G458" s="2" t="s">
        <v>1603</v>
      </c>
      <c r="H458" s="2" t="s">
        <v>41</v>
      </c>
      <c r="I458" s="2" t="s">
        <v>42</v>
      </c>
      <c r="J458" s="2" t="s">
        <v>728</v>
      </c>
      <c r="K458" s="2" t="s">
        <v>1604</v>
      </c>
    </row>
    <row r="459" customFormat="false" ht="15" hidden="false" customHeight="false" outlineLevel="0" collapsed="false">
      <c r="A459" s="2" t="s">
        <v>1605</v>
      </c>
    </row>
    <row r="461" customFormat="false" ht="15" hidden="false" customHeight="false" outlineLevel="0" collapsed="false">
      <c r="A461" s="2" t="s">
        <v>17</v>
      </c>
      <c r="G461" s="2" t="s">
        <v>261</v>
      </c>
    </row>
    <row r="462" customFormat="false" ht="15" hidden="false" customHeight="false" outlineLevel="0" collapsed="false">
      <c r="A462" s="2" t="s">
        <v>22</v>
      </c>
      <c r="B462" s="2" t="s">
        <v>23</v>
      </c>
      <c r="C462" s="2" t="s">
        <v>24</v>
      </c>
      <c r="D462" s="2" t="s">
        <v>25</v>
      </c>
      <c r="E462" s="2" t="s">
        <v>26</v>
      </c>
      <c r="F462" s="2" t="s">
        <v>27</v>
      </c>
      <c r="G462" s="2" t="s">
        <v>28</v>
      </c>
      <c r="H462" s="2" t="s">
        <v>29</v>
      </c>
      <c r="I462" s="2" t="s">
        <v>30</v>
      </c>
      <c r="J462" s="2" t="s">
        <v>31</v>
      </c>
      <c r="K462" s="2" t="s">
        <v>32</v>
      </c>
      <c r="L462" s="2" t="s">
        <v>33</v>
      </c>
    </row>
    <row r="463" customFormat="false" ht="15" hidden="false" customHeight="false" outlineLevel="0" collapsed="false">
      <c r="A463" s="2" t="s">
        <v>1562</v>
      </c>
      <c r="C463" s="2" t="s">
        <v>1602</v>
      </c>
      <c r="D463" s="2" t="s">
        <v>281</v>
      </c>
      <c r="E463" s="2" t="s">
        <v>269</v>
      </c>
      <c r="F463" s="2" t="s">
        <v>379</v>
      </c>
      <c r="G463" s="2" t="s">
        <v>1603</v>
      </c>
      <c r="H463" s="2" t="s">
        <v>41</v>
      </c>
      <c r="I463" s="2" t="s">
        <v>42</v>
      </c>
      <c r="J463" s="2" t="s">
        <v>728</v>
      </c>
      <c r="K463" s="2" t="s">
        <v>1604</v>
      </c>
    </row>
    <row r="464" customFormat="false" ht="15" hidden="false" customHeight="false" outlineLevel="0" collapsed="false">
      <c r="A464" s="2" t="s">
        <v>1562</v>
      </c>
      <c r="C464" s="2" t="s">
        <v>1606</v>
      </c>
      <c r="D464" s="2" t="s">
        <v>37</v>
      </c>
      <c r="E464" s="2" t="s">
        <v>1607</v>
      </c>
      <c r="F464" s="2" t="s">
        <v>1608</v>
      </c>
      <c r="G464" s="2" t="s">
        <v>1609</v>
      </c>
      <c r="H464" s="2" t="s">
        <v>41</v>
      </c>
      <c r="I464" s="2" t="s">
        <v>320</v>
      </c>
      <c r="J464" s="2" t="s">
        <v>748</v>
      </c>
      <c r="K464" s="2" t="s">
        <v>1610</v>
      </c>
    </row>
    <row r="465" customFormat="false" ht="15" hidden="false" customHeight="false" outlineLevel="0" collapsed="false">
      <c r="C465" s="2" t="s">
        <v>1611</v>
      </c>
      <c r="D465" s="2" t="s">
        <v>37</v>
      </c>
      <c r="E465" s="2" t="s">
        <v>201</v>
      </c>
      <c r="F465" s="2" t="s">
        <v>559</v>
      </c>
      <c r="G465" s="2" t="s">
        <v>1612</v>
      </c>
      <c r="H465" s="2" t="s">
        <v>41</v>
      </c>
      <c r="I465" s="2" t="s">
        <v>442</v>
      </c>
      <c r="J465" s="2" t="s">
        <v>751</v>
      </c>
      <c r="K465" s="2" t="s">
        <v>847</v>
      </c>
    </row>
    <row r="466" customFormat="false" ht="15" hidden="false" customHeight="false" outlineLevel="0" collapsed="false">
      <c r="C466" s="2" t="s">
        <v>1613</v>
      </c>
      <c r="D466" s="2" t="s">
        <v>37</v>
      </c>
      <c r="E466" s="2" t="s">
        <v>1607</v>
      </c>
      <c r="F466" s="2" t="s">
        <v>659</v>
      </c>
      <c r="G466" s="2" t="s">
        <v>1614</v>
      </c>
      <c r="I466" s="2" t="s">
        <v>320</v>
      </c>
      <c r="J466" s="2" t="s">
        <v>751</v>
      </c>
      <c r="L466" s="2" t="s">
        <v>57</v>
      </c>
    </row>
    <row r="467" customFormat="false" ht="15" hidden="false" customHeight="false" outlineLevel="0" collapsed="false">
      <c r="C467" s="2" t="s">
        <v>1615</v>
      </c>
      <c r="D467" s="2" t="s">
        <v>385</v>
      </c>
      <c r="E467" s="2" t="s">
        <v>1616</v>
      </c>
      <c r="F467" s="2" t="s">
        <v>1616</v>
      </c>
      <c r="G467" s="2" t="s">
        <v>1617</v>
      </c>
      <c r="H467" s="2" t="s">
        <v>41</v>
      </c>
      <c r="J467" s="2" t="s">
        <v>728</v>
      </c>
      <c r="K467" s="2" t="s">
        <v>1618</v>
      </c>
    </row>
    <row r="468" customFormat="false" ht="15" hidden="false" customHeight="false" outlineLevel="0" collapsed="false">
      <c r="C468" s="2" t="s">
        <v>1619</v>
      </c>
      <c r="D468" s="2" t="s">
        <v>37</v>
      </c>
      <c r="E468" s="2" t="s">
        <v>1620</v>
      </c>
      <c r="F468" s="2" t="s">
        <v>1621</v>
      </c>
      <c r="G468" s="2" t="s">
        <v>1622</v>
      </c>
      <c r="H468" s="2" t="s">
        <v>41</v>
      </c>
      <c r="I468" s="2" t="s">
        <v>96</v>
      </c>
      <c r="J468" s="2" t="s">
        <v>728</v>
      </c>
      <c r="K468" s="2" t="s">
        <v>667</v>
      </c>
      <c r="L468" s="2" t="s">
        <v>57</v>
      </c>
    </row>
    <row r="469" customFormat="false" ht="15" hidden="false" customHeight="false" outlineLevel="0" collapsed="false">
      <c r="C469" s="2" t="s">
        <v>1623</v>
      </c>
      <c r="D469" s="2" t="s">
        <v>37</v>
      </c>
      <c r="E469" s="2" t="s">
        <v>1624</v>
      </c>
      <c r="F469" s="2" t="s">
        <v>1625</v>
      </c>
      <c r="G469" s="2" t="s">
        <v>1626</v>
      </c>
      <c r="H469" s="2" t="s">
        <v>41</v>
      </c>
      <c r="I469" s="2" t="s">
        <v>336</v>
      </c>
      <c r="J469" s="2" t="s">
        <v>748</v>
      </c>
      <c r="K469" s="2" t="s">
        <v>1627</v>
      </c>
    </row>
    <row r="470" customFormat="false" ht="15" hidden="false" customHeight="false" outlineLevel="0" collapsed="false">
      <c r="C470" s="2" t="s">
        <v>1628</v>
      </c>
      <c r="D470" s="2" t="s">
        <v>37</v>
      </c>
      <c r="E470" s="2" t="s">
        <v>891</v>
      </c>
      <c r="F470" s="2" t="s">
        <v>1287</v>
      </c>
      <c r="G470" s="2" t="s">
        <v>1629</v>
      </c>
      <c r="H470" s="2" t="s">
        <v>41</v>
      </c>
      <c r="I470" s="2" t="s">
        <v>42</v>
      </c>
      <c r="J470" s="2" t="s">
        <v>728</v>
      </c>
      <c r="K470" s="2" t="s">
        <v>1630</v>
      </c>
    </row>
    <row r="471" customFormat="false" ht="15" hidden="false" customHeight="false" outlineLevel="0" collapsed="false">
      <c r="C471" s="2" t="s">
        <v>1631</v>
      </c>
      <c r="D471" s="2" t="s">
        <v>37</v>
      </c>
      <c r="E471" s="2" t="s">
        <v>660</v>
      </c>
      <c r="F471" s="2" t="s">
        <v>709</v>
      </c>
      <c r="G471" s="2" t="s">
        <v>1632</v>
      </c>
      <c r="H471" s="2" t="s">
        <v>41</v>
      </c>
      <c r="I471" s="2" t="s">
        <v>67</v>
      </c>
      <c r="J471" s="2" t="s">
        <v>132</v>
      </c>
      <c r="K471" s="2" t="s">
        <v>1633</v>
      </c>
    </row>
    <row r="472" customFormat="false" ht="15" hidden="false" customHeight="false" outlineLevel="0" collapsed="false">
      <c r="C472" s="2" t="s">
        <v>1634</v>
      </c>
      <c r="D472" s="2" t="s">
        <v>917</v>
      </c>
      <c r="E472" s="2" t="s">
        <v>1539</v>
      </c>
      <c r="F472" s="2" t="s">
        <v>1539</v>
      </c>
      <c r="G472" s="2" t="s">
        <v>1635</v>
      </c>
      <c r="H472" s="2" t="s">
        <v>41</v>
      </c>
      <c r="J472" s="2" t="s">
        <v>728</v>
      </c>
      <c r="K472" s="2" t="s">
        <v>1636</v>
      </c>
    </row>
    <row r="473" customFormat="false" ht="15" hidden="false" customHeight="false" outlineLevel="0" collapsed="false">
      <c r="C473" s="2" t="s">
        <v>1637</v>
      </c>
      <c r="D473" s="2" t="s">
        <v>37</v>
      </c>
      <c r="E473" s="2" t="s">
        <v>304</v>
      </c>
      <c r="F473" s="2" t="s">
        <v>1638</v>
      </c>
      <c r="G473" s="2" t="s">
        <v>1639</v>
      </c>
      <c r="H473" s="2" t="s">
        <v>41</v>
      </c>
      <c r="I473" s="2" t="s">
        <v>102</v>
      </c>
      <c r="J473" s="2" t="s">
        <v>728</v>
      </c>
      <c r="K473" s="2" t="s">
        <v>1640</v>
      </c>
    </row>
    <row r="474" customFormat="false" ht="15" hidden="false" customHeight="false" outlineLevel="0" collapsed="false">
      <c r="C474" s="2" t="s">
        <v>1641</v>
      </c>
      <c r="D474" s="2" t="s">
        <v>344</v>
      </c>
      <c r="E474" s="2" t="s">
        <v>1642</v>
      </c>
      <c r="F474" s="2" t="s">
        <v>1642</v>
      </c>
      <c r="G474" s="2" t="s">
        <v>1643</v>
      </c>
      <c r="H474" s="2" t="s">
        <v>41</v>
      </c>
      <c r="J474" s="2" t="s">
        <v>719</v>
      </c>
    </row>
    <row r="475" customFormat="false" ht="15" hidden="false" customHeight="false" outlineLevel="0" collapsed="false">
      <c r="C475" s="2" t="s">
        <v>1644</v>
      </c>
      <c r="D475" s="2" t="s">
        <v>329</v>
      </c>
      <c r="E475" s="2" t="s">
        <v>1645</v>
      </c>
      <c r="F475" s="2" t="s">
        <v>1645</v>
      </c>
      <c r="G475" s="2" t="s">
        <v>1646</v>
      </c>
      <c r="H475" s="2" t="s">
        <v>41</v>
      </c>
      <c r="I475" s="2" t="s">
        <v>225</v>
      </c>
      <c r="J475" s="2" t="s">
        <v>728</v>
      </c>
      <c r="K475" s="2" t="s">
        <v>1647</v>
      </c>
    </row>
    <row r="476" customFormat="false" ht="15" hidden="false" customHeight="false" outlineLevel="0" collapsed="false">
      <c r="C476" s="2" t="s">
        <v>124</v>
      </c>
      <c r="G476" s="2" t="s">
        <v>1648</v>
      </c>
      <c r="H476" s="2" t="s">
        <v>41</v>
      </c>
    </row>
    <row r="478" customFormat="false" ht="15" hidden="false" customHeight="false" outlineLevel="0" collapsed="false">
      <c r="A478" s="2" t="s">
        <v>1649</v>
      </c>
      <c r="B478" s="2" t="s">
        <v>1650</v>
      </c>
      <c r="C478" s="2" t="s">
        <v>1651</v>
      </c>
      <c r="D478" s="2" t="s">
        <v>37</v>
      </c>
      <c r="E478" s="2" t="s">
        <v>826</v>
      </c>
      <c r="G478" s="2" t="s">
        <v>1652</v>
      </c>
      <c r="H478" s="2" t="s">
        <v>41</v>
      </c>
      <c r="I478" s="2" t="s">
        <v>213</v>
      </c>
      <c r="J478" s="2" t="s">
        <v>332</v>
      </c>
      <c r="K478" s="2" t="s">
        <v>1653</v>
      </c>
    </row>
    <row r="479" customFormat="false" ht="15" hidden="false" customHeight="false" outlineLevel="0" collapsed="false">
      <c r="C479" s="2" t="s">
        <v>1654</v>
      </c>
      <c r="D479" s="2" t="s">
        <v>37</v>
      </c>
      <c r="E479" s="2" t="s">
        <v>1655</v>
      </c>
      <c r="F479" s="2" t="s">
        <v>1656</v>
      </c>
      <c r="G479" s="2" t="s">
        <v>1657</v>
      </c>
      <c r="H479" s="2" t="s">
        <v>61</v>
      </c>
      <c r="I479" s="2" t="s">
        <v>245</v>
      </c>
      <c r="J479" s="2" t="s">
        <v>132</v>
      </c>
      <c r="K479" s="2" t="s">
        <v>1658</v>
      </c>
    </row>
    <row r="480" customFormat="false" ht="15" hidden="false" customHeight="false" outlineLevel="0" collapsed="false">
      <c r="C480" s="2" t="s">
        <v>124</v>
      </c>
      <c r="G480" s="2" t="s">
        <v>1659</v>
      </c>
      <c r="H480" s="2" t="s">
        <v>41</v>
      </c>
    </row>
    <row r="481" customFormat="false" ht="15" hidden="false" customHeight="false" outlineLevel="0" collapsed="false">
      <c r="A481" s="2" t="s">
        <v>1660</v>
      </c>
      <c r="B481" s="2" t="s">
        <v>1661</v>
      </c>
      <c r="C481" s="2" t="s">
        <v>1662</v>
      </c>
      <c r="D481" s="2" t="s">
        <v>37</v>
      </c>
      <c r="E481" s="2" t="s">
        <v>1663</v>
      </c>
      <c r="F481" s="2" t="s">
        <v>1664</v>
      </c>
      <c r="G481" s="2" t="s">
        <v>1665</v>
      </c>
      <c r="H481" s="2" t="s">
        <v>41</v>
      </c>
      <c r="I481" s="2" t="s">
        <v>320</v>
      </c>
      <c r="J481" s="2" t="s">
        <v>694</v>
      </c>
      <c r="K481" s="2" t="s">
        <v>1666</v>
      </c>
      <c r="L481" s="2" t="s">
        <v>624</v>
      </c>
    </row>
    <row r="482" customFormat="false" ht="15" hidden="false" customHeight="false" outlineLevel="0" collapsed="false">
      <c r="C482" s="2" t="s">
        <v>1667</v>
      </c>
      <c r="D482" s="2" t="s">
        <v>37</v>
      </c>
      <c r="E482" s="2" t="s">
        <v>956</v>
      </c>
      <c r="F482" s="2" t="s">
        <v>650</v>
      </c>
      <c r="G482" s="2" t="s">
        <v>1012</v>
      </c>
      <c r="H482" s="2" t="s">
        <v>236</v>
      </c>
      <c r="I482" s="2" t="s">
        <v>161</v>
      </c>
      <c r="J482" s="2" t="s">
        <v>49</v>
      </c>
    </row>
    <row r="484" customFormat="false" ht="15" hidden="false" customHeight="false" outlineLevel="0" collapsed="false">
      <c r="C484" s="2" t="s">
        <v>1668</v>
      </c>
      <c r="D484" s="2" t="s">
        <v>37</v>
      </c>
      <c r="E484" s="2" t="s">
        <v>606</v>
      </c>
      <c r="F484" s="2" t="s">
        <v>1669</v>
      </c>
      <c r="G484" s="2" t="s">
        <v>1670</v>
      </c>
      <c r="H484" s="2" t="s">
        <v>236</v>
      </c>
      <c r="I484" s="2" t="s">
        <v>213</v>
      </c>
      <c r="J484" s="2" t="s">
        <v>940</v>
      </c>
      <c r="K484" s="2" t="s">
        <v>667</v>
      </c>
    </row>
    <row r="485" customFormat="false" ht="15" hidden="false" customHeight="false" outlineLevel="0" collapsed="false">
      <c r="C485" s="2" t="s">
        <v>124</v>
      </c>
      <c r="G485" s="2" t="s">
        <v>1671</v>
      </c>
      <c r="H485" s="2" t="s">
        <v>41</v>
      </c>
    </row>
    <row r="487" customFormat="false" ht="15" hidden="false" customHeight="false" outlineLevel="0" collapsed="false">
      <c r="A487" s="2" t="s">
        <v>1672</v>
      </c>
      <c r="B487" s="2" t="s">
        <v>1673</v>
      </c>
      <c r="C487" s="2" t="s">
        <v>1674</v>
      </c>
      <c r="D487" s="2" t="s">
        <v>37</v>
      </c>
      <c r="E487" s="2" t="s">
        <v>546</v>
      </c>
      <c r="F487" s="2" t="s">
        <v>269</v>
      </c>
      <c r="G487" s="2" t="s">
        <v>1675</v>
      </c>
      <c r="H487" s="2" t="s">
        <v>41</v>
      </c>
      <c r="I487" s="2" t="s">
        <v>168</v>
      </c>
      <c r="J487" s="2" t="s">
        <v>502</v>
      </c>
      <c r="K487" s="2" t="s">
        <v>1676</v>
      </c>
    </row>
    <row r="488" customFormat="false" ht="15" hidden="false" customHeight="false" outlineLevel="0" collapsed="false">
      <c r="C488" s="2" t="s">
        <v>1677</v>
      </c>
      <c r="D488" s="2" t="s">
        <v>385</v>
      </c>
      <c r="E488" s="2" t="s">
        <v>659</v>
      </c>
      <c r="G488" s="2" t="s">
        <v>1678</v>
      </c>
      <c r="H488" s="2" t="s">
        <v>41</v>
      </c>
      <c r="J488" s="2" t="s">
        <v>694</v>
      </c>
      <c r="K488" s="2" t="s">
        <v>1679</v>
      </c>
    </row>
    <row r="489" customFormat="false" ht="15" hidden="false" customHeight="false" outlineLevel="0" collapsed="false">
      <c r="C489" s="2" t="s">
        <v>1680</v>
      </c>
      <c r="D489" s="2" t="s">
        <v>37</v>
      </c>
      <c r="E489" s="2" t="s">
        <v>210</v>
      </c>
      <c r="F489" s="2" t="s">
        <v>1681</v>
      </c>
      <c r="G489" s="2" t="s">
        <v>1682</v>
      </c>
      <c r="H489" s="2" t="s">
        <v>41</v>
      </c>
      <c r="I489" s="2" t="s">
        <v>161</v>
      </c>
      <c r="J489" s="2" t="s">
        <v>940</v>
      </c>
      <c r="K489" s="2" t="s">
        <v>1683</v>
      </c>
    </row>
    <row r="490" customFormat="false" ht="15" hidden="false" customHeight="false" outlineLevel="0" collapsed="false">
      <c r="C490" s="2" t="s">
        <v>1684</v>
      </c>
      <c r="D490" s="2" t="s">
        <v>37</v>
      </c>
      <c r="E490" s="2" t="s">
        <v>1685</v>
      </c>
      <c r="F490" s="2" t="s">
        <v>1686</v>
      </c>
      <c r="G490" s="2" t="s">
        <v>1687</v>
      </c>
      <c r="H490" s="2" t="s">
        <v>41</v>
      </c>
      <c r="I490" s="2" t="s">
        <v>168</v>
      </c>
      <c r="J490" s="2" t="s">
        <v>502</v>
      </c>
      <c r="K490" s="2" t="s">
        <v>1688</v>
      </c>
    </row>
    <row r="491" customFormat="false" ht="15" hidden="false" customHeight="false" outlineLevel="0" collapsed="false">
      <c r="C491" s="2" t="s">
        <v>1689</v>
      </c>
      <c r="D491" s="2" t="s">
        <v>37</v>
      </c>
      <c r="E491" s="2" t="s">
        <v>582</v>
      </c>
      <c r="F491" s="2" t="s">
        <v>478</v>
      </c>
      <c r="G491" s="2" t="s">
        <v>1690</v>
      </c>
      <c r="H491" s="2" t="s">
        <v>41</v>
      </c>
      <c r="I491" s="2" t="s">
        <v>161</v>
      </c>
      <c r="J491" s="2" t="s">
        <v>940</v>
      </c>
      <c r="K491" s="2" t="s">
        <v>1691</v>
      </c>
    </row>
    <row r="492" customFormat="false" ht="15" hidden="false" customHeight="false" outlineLevel="0" collapsed="false">
      <c r="C492" s="2" t="s">
        <v>1692</v>
      </c>
      <c r="D492" s="2" t="s">
        <v>37</v>
      </c>
      <c r="E492" s="2" t="s">
        <v>582</v>
      </c>
      <c r="F492" s="2" t="s">
        <v>407</v>
      </c>
      <c r="G492" s="2" t="s">
        <v>1693</v>
      </c>
      <c r="H492" s="2" t="s">
        <v>41</v>
      </c>
      <c r="I492" s="2" t="s">
        <v>219</v>
      </c>
      <c r="J492" s="2" t="s">
        <v>902</v>
      </c>
      <c r="K492" s="2" t="s">
        <v>1694</v>
      </c>
    </row>
    <row r="493" customFormat="false" ht="15" hidden="false" customHeight="false" outlineLevel="0" collapsed="false">
      <c r="C493" s="2" t="s">
        <v>1695</v>
      </c>
      <c r="D493" s="2" t="s">
        <v>37</v>
      </c>
      <c r="E493" s="2" t="s">
        <v>606</v>
      </c>
      <c r="F493" s="2" t="s">
        <v>607</v>
      </c>
      <c r="G493" s="2" t="s">
        <v>1696</v>
      </c>
      <c r="H493" s="2" t="s">
        <v>41</v>
      </c>
      <c r="I493" s="2" t="s">
        <v>175</v>
      </c>
      <c r="J493" s="2" t="s">
        <v>489</v>
      </c>
    </row>
    <row r="494" customFormat="false" ht="15" hidden="false" customHeight="false" outlineLevel="0" collapsed="false">
      <c r="C494" s="2" t="s">
        <v>124</v>
      </c>
      <c r="G494" s="2" t="s">
        <v>1697</v>
      </c>
      <c r="H494" s="2" t="s">
        <v>41</v>
      </c>
    </row>
    <row r="496" customFormat="false" ht="15" hidden="false" customHeight="false" outlineLevel="0" collapsed="false">
      <c r="A496" s="2" t="s">
        <v>1698</v>
      </c>
      <c r="B496" s="2" t="s">
        <v>1699</v>
      </c>
      <c r="C496" s="2" t="s">
        <v>1700</v>
      </c>
      <c r="D496" s="2" t="s">
        <v>281</v>
      </c>
      <c r="E496" s="2" t="s">
        <v>1513</v>
      </c>
      <c r="F496" s="2" t="s">
        <v>1324</v>
      </c>
      <c r="G496" s="2" t="s">
        <v>1701</v>
      </c>
      <c r="H496" s="2" t="s">
        <v>41</v>
      </c>
      <c r="I496" s="2" t="s">
        <v>417</v>
      </c>
      <c r="J496" s="2" t="s">
        <v>278</v>
      </c>
      <c r="K496" s="2" t="s">
        <v>1702</v>
      </c>
    </row>
    <row r="497" customFormat="false" ht="15" hidden="false" customHeight="false" outlineLevel="0" collapsed="false">
      <c r="C497" s="2" t="s">
        <v>1703</v>
      </c>
      <c r="D497" s="2" t="s">
        <v>37</v>
      </c>
      <c r="E497" s="2" t="s">
        <v>1704</v>
      </c>
      <c r="F497" s="2" t="s">
        <v>1705</v>
      </c>
      <c r="G497" s="2" t="s">
        <v>1706</v>
      </c>
      <c r="H497" s="2" t="s">
        <v>41</v>
      </c>
      <c r="I497" s="2" t="s">
        <v>219</v>
      </c>
      <c r="J497" s="2" t="s">
        <v>162</v>
      </c>
      <c r="K497" s="2" t="s">
        <v>1707</v>
      </c>
    </row>
    <row r="498" customFormat="false" ht="15" hidden="false" customHeight="false" outlineLevel="0" collapsed="false">
      <c r="C498" s="2" t="s">
        <v>1708</v>
      </c>
      <c r="D498" s="2" t="s">
        <v>37</v>
      </c>
      <c r="E498" s="2" t="s">
        <v>268</v>
      </c>
      <c r="F498" s="2" t="s">
        <v>1113</v>
      </c>
      <c r="G498" s="2" t="s">
        <v>1709</v>
      </c>
      <c r="I498" s="2" t="s">
        <v>442</v>
      </c>
      <c r="J498" s="2" t="s">
        <v>162</v>
      </c>
      <c r="K498" s="2" t="s">
        <v>1710</v>
      </c>
    </row>
    <row r="499" customFormat="false" ht="15" hidden="false" customHeight="false" outlineLevel="0" collapsed="false">
      <c r="C499" s="2" t="s">
        <v>1711</v>
      </c>
      <c r="D499" s="2" t="s">
        <v>37</v>
      </c>
      <c r="E499" s="2" t="s">
        <v>1712</v>
      </c>
      <c r="F499" s="2" t="s">
        <v>1713</v>
      </c>
      <c r="G499" s="2" t="s">
        <v>1714</v>
      </c>
      <c r="H499" s="2" t="s">
        <v>236</v>
      </c>
      <c r="I499" s="2" t="s">
        <v>417</v>
      </c>
      <c r="J499" s="2" t="s">
        <v>162</v>
      </c>
      <c r="K499" s="2" t="s">
        <v>1715</v>
      </c>
    </row>
    <row r="500" customFormat="false" ht="15" hidden="false" customHeight="false" outlineLevel="0" collapsed="false">
      <c r="C500" s="2" t="s">
        <v>1716</v>
      </c>
      <c r="D500" s="2" t="s">
        <v>37</v>
      </c>
      <c r="E500" s="2" t="s">
        <v>1717</v>
      </c>
      <c r="F500" s="2" t="s">
        <v>1718</v>
      </c>
      <c r="G500" s="2" t="s">
        <v>1719</v>
      </c>
      <c r="H500" s="2" t="s">
        <v>41</v>
      </c>
      <c r="I500" s="2" t="s">
        <v>417</v>
      </c>
      <c r="J500" s="2" t="s">
        <v>301</v>
      </c>
      <c r="K500" s="2" t="s">
        <v>307</v>
      </c>
    </row>
    <row r="501" customFormat="false" ht="15" hidden="false" customHeight="false" outlineLevel="0" collapsed="false">
      <c r="C501" s="2" t="s">
        <v>1720</v>
      </c>
      <c r="D501" s="2" t="s">
        <v>344</v>
      </c>
      <c r="E501" s="2" t="s">
        <v>242</v>
      </c>
      <c r="G501" s="2" t="s">
        <v>1721</v>
      </c>
      <c r="H501" s="2" t="s">
        <v>61</v>
      </c>
      <c r="J501" s="2" t="s">
        <v>162</v>
      </c>
      <c r="K501" s="2" t="s">
        <v>690</v>
      </c>
    </row>
    <row r="502" customFormat="false" ht="15" hidden="false" customHeight="false" outlineLevel="0" collapsed="false">
      <c r="C502" s="2" t="s">
        <v>1722</v>
      </c>
      <c r="D502" s="2" t="s">
        <v>182</v>
      </c>
      <c r="E502" s="2" t="s">
        <v>1135</v>
      </c>
      <c r="F502" s="2" t="s">
        <v>1723</v>
      </c>
      <c r="G502" s="2" t="s">
        <v>1724</v>
      </c>
      <c r="H502" s="2" t="s">
        <v>41</v>
      </c>
      <c r="I502" s="2" t="s">
        <v>803</v>
      </c>
      <c r="J502" s="2" t="s">
        <v>278</v>
      </c>
    </row>
    <row r="503" customFormat="false" ht="15" hidden="false" customHeight="false" outlineLevel="0" collapsed="false">
      <c r="C503" s="2" t="s">
        <v>1725</v>
      </c>
      <c r="D503" s="2" t="s">
        <v>37</v>
      </c>
      <c r="E503" s="2" t="s">
        <v>1539</v>
      </c>
      <c r="F503" s="2" t="s">
        <v>1726</v>
      </c>
      <c r="G503" s="2" t="s">
        <v>1727</v>
      </c>
      <c r="H503" s="2" t="s">
        <v>41</v>
      </c>
      <c r="I503" s="2" t="s">
        <v>219</v>
      </c>
      <c r="J503" s="2" t="s">
        <v>162</v>
      </c>
      <c r="K503" s="2" t="s">
        <v>1728</v>
      </c>
    </row>
    <row r="504" customFormat="false" ht="15" hidden="false" customHeight="false" outlineLevel="0" collapsed="false">
      <c r="C504" s="2" t="s">
        <v>124</v>
      </c>
      <c r="G504" s="2" t="s">
        <v>1729</v>
      </c>
      <c r="H504" s="2" t="s">
        <v>41</v>
      </c>
    </row>
    <row r="505" customFormat="false" ht="15" hidden="false" customHeight="false" outlineLevel="0" collapsed="false">
      <c r="A505" s="2" t="s">
        <v>1730</v>
      </c>
      <c r="B505" s="2" t="s">
        <v>1731</v>
      </c>
      <c r="C505" s="2" t="s">
        <v>1732</v>
      </c>
      <c r="D505" s="2" t="s">
        <v>37</v>
      </c>
      <c r="E505" s="2" t="s">
        <v>1733</v>
      </c>
      <c r="F505" s="2" t="s">
        <v>1734</v>
      </c>
      <c r="G505" s="2" t="s">
        <v>1735</v>
      </c>
      <c r="I505" s="2" t="s">
        <v>219</v>
      </c>
      <c r="J505" s="2" t="s">
        <v>728</v>
      </c>
      <c r="K505" s="2" t="s">
        <v>1736</v>
      </c>
    </row>
    <row r="506" customFormat="false" ht="15" hidden="false" customHeight="false" outlineLevel="0" collapsed="false">
      <c r="C506" s="2" t="s">
        <v>1737</v>
      </c>
      <c r="D506" s="2" t="s">
        <v>37</v>
      </c>
      <c r="E506" s="2" t="s">
        <v>537</v>
      </c>
      <c r="F506" s="2" t="s">
        <v>187</v>
      </c>
      <c r="G506" s="2" t="s">
        <v>1738</v>
      </c>
      <c r="H506" s="2" t="s">
        <v>41</v>
      </c>
      <c r="I506" s="2" t="s">
        <v>417</v>
      </c>
      <c r="J506" s="2" t="s">
        <v>290</v>
      </c>
    </row>
    <row r="507" customFormat="false" ht="15" hidden="false" customHeight="false" outlineLevel="0" collapsed="false">
      <c r="C507" s="2" t="s">
        <v>1739</v>
      </c>
      <c r="D507" s="2" t="s">
        <v>37</v>
      </c>
      <c r="E507" s="2" t="s">
        <v>1740</v>
      </c>
      <c r="F507" s="2" t="s">
        <v>1741</v>
      </c>
      <c r="G507" s="2" t="s">
        <v>1742</v>
      </c>
      <c r="H507" s="2" t="s">
        <v>41</v>
      </c>
      <c r="I507" s="2" t="s">
        <v>219</v>
      </c>
      <c r="J507" s="2" t="s">
        <v>719</v>
      </c>
      <c r="K507" s="2" t="s">
        <v>1743</v>
      </c>
    </row>
    <row r="508" customFormat="false" ht="15" hidden="false" customHeight="false" outlineLevel="0" collapsed="false">
      <c r="C508" s="2" t="s">
        <v>1744</v>
      </c>
      <c r="D508" s="2" t="s">
        <v>37</v>
      </c>
      <c r="E508" s="2" t="s">
        <v>1113</v>
      </c>
      <c r="F508" s="2" t="s">
        <v>1039</v>
      </c>
      <c r="G508" s="2" t="s">
        <v>1745</v>
      </c>
      <c r="H508" s="2" t="s">
        <v>41</v>
      </c>
      <c r="I508" s="2" t="s">
        <v>417</v>
      </c>
      <c r="J508" s="2" t="s">
        <v>1596</v>
      </c>
      <c r="K508" s="2" t="s">
        <v>147</v>
      </c>
    </row>
    <row r="509" customFormat="false" ht="15" hidden="false" customHeight="false" outlineLevel="0" collapsed="false">
      <c r="C509" s="2" t="s">
        <v>124</v>
      </c>
      <c r="G509" s="2" t="s">
        <v>1746</v>
      </c>
      <c r="H509" s="2" t="s">
        <v>41</v>
      </c>
    </row>
    <row r="510" customFormat="false" ht="15" hidden="false" customHeight="false" outlineLevel="0" collapsed="false">
      <c r="A510" s="2" t="s">
        <v>1747</v>
      </c>
      <c r="B510" s="2" t="s">
        <v>1748</v>
      </c>
      <c r="C510" s="2" t="s">
        <v>1749</v>
      </c>
      <c r="D510" s="2" t="s">
        <v>274</v>
      </c>
      <c r="E510" s="2" t="s">
        <v>1750</v>
      </c>
      <c r="F510" s="2" t="s">
        <v>1751</v>
      </c>
      <c r="G510" s="2" t="s">
        <v>1752</v>
      </c>
      <c r="H510" s="2" t="s">
        <v>41</v>
      </c>
      <c r="I510" s="2" t="s">
        <v>803</v>
      </c>
      <c r="J510" s="2" t="s">
        <v>728</v>
      </c>
      <c r="K510" s="2" t="s">
        <v>1753</v>
      </c>
    </row>
    <row r="511" customFormat="false" ht="15" hidden="false" customHeight="false" outlineLevel="0" collapsed="false">
      <c r="A511" s="2" t="s">
        <v>1754</v>
      </c>
    </row>
    <row r="513" customFormat="false" ht="15" hidden="false" customHeight="false" outlineLevel="0" collapsed="false">
      <c r="A513" s="2" t="s">
        <v>17</v>
      </c>
      <c r="G513" s="2" t="s">
        <v>261</v>
      </c>
    </row>
    <row r="514" customFormat="false" ht="15" hidden="false" customHeight="false" outlineLevel="0" collapsed="false">
      <c r="A514" s="2" t="s">
        <v>22</v>
      </c>
      <c r="B514" s="2" t="s">
        <v>23</v>
      </c>
      <c r="C514" s="2" t="s">
        <v>24</v>
      </c>
      <c r="D514" s="2" t="s">
        <v>25</v>
      </c>
      <c r="E514" s="2" t="s">
        <v>26</v>
      </c>
      <c r="F514" s="2" t="s">
        <v>27</v>
      </c>
      <c r="G514" s="2" t="s">
        <v>28</v>
      </c>
      <c r="H514" s="2" t="s">
        <v>29</v>
      </c>
      <c r="I514" s="2" t="s">
        <v>30</v>
      </c>
      <c r="J514" s="2" t="s">
        <v>31</v>
      </c>
      <c r="K514" s="2" t="s">
        <v>32</v>
      </c>
      <c r="L514" s="2" t="s">
        <v>33</v>
      </c>
    </row>
    <row r="515" customFormat="false" ht="15" hidden="false" customHeight="false" outlineLevel="0" collapsed="false">
      <c r="B515" s="2" t="s">
        <v>1748</v>
      </c>
      <c r="C515" s="2" t="s">
        <v>1749</v>
      </c>
      <c r="D515" s="2" t="s">
        <v>274</v>
      </c>
      <c r="E515" s="2" t="s">
        <v>1750</v>
      </c>
      <c r="F515" s="2" t="s">
        <v>1751</v>
      </c>
      <c r="G515" s="2" t="s">
        <v>1752</v>
      </c>
      <c r="H515" s="2" t="s">
        <v>41</v>
      </c>
      <c r="I515" s="2" t="s">
        <v>803</v>
      </c>
      <c r="J515" s="2" t="s">
        <v>728</v>
      </c>
      <c r="K515" s="2" t="s">
        <v>1753</v>
      </c>
    </row>
    <row r="516" customFormat="false" ht="15" hidden="false" customHeight="false" outlineLevel="0" collapsed="false">
      <c r="C516" s="2" t="s">
        <v>1755</v>
      </c>
      <c r="D516" s="2" t="s">
        <v>917</v>
      </c>
      <c r="E516" s="2" t="s">
        <v>1756</v>
      </c>
      <c r="F516" s="2" t="s">
        <v>1756</v>
      </c>
      <c r="G516" s="2" t="s">
        <v>1757</v>
      </c>
      <c r="H516" s="2" t="s">
        <v>41</v>
      </c>
      <c r="I516" s="2" t="s">
        <v>225</v>
      </c>
      <c r="J516" s="2" t="s">
        <v>751</v>
      </c>
    </row>
    <row r="517" customFormat="false" ht="15" hidden="false" customHeight="false" outlineLevel="0" collapsed="false">
      <c r="C517" s="2" t="s">
        <v>1758</v>
      </c>
      <c r="D517" s="2" t="s">
        <v>37</v>
      </c>
      <c r="E517" s="2" t="s">
        <v>1759</v>
      </c>
      <c r="F517" s="2" t="s">
        <v>1760</v>
      </c>
      <c r="G517" s="2" t="s">
        <v>1761</v>
      </c>
      <c r="I517" s="2" t="s">
        <v>219</v>
      </c>
      <c r="J517" s="2" t="s">
        <v>748</v>
      </c>
      <c r="K517" s="2" t="s">
        <v>1762</v>
      </c>
      <c r="L517" s="2" t="s">
        <v>959</v>
      </c>
    </row>
    <row r="518" customFormat="false" ht="15" hidden="false" customHeight="false" outlineLevel="0" collapsed="false">
      <c r="C518" s="2" t="s">
        <v>1763</v>
      </c>
      <c r="D518" s="2" t="s">
        <v>37</v>
      </c>
      <c r="E518" s="2" t="s">
        <v>1764</v>
      </c>
      <c r="F518" s="2" t="s">
        <v>469</v>
      </c>
      <c r="G518" s="2" t="s">
        <v>1765</v>
      </c>
      <c r="H518" s="2" t="s">
        <v>41</v>
      </c>
      <c r="I518" s="2" t="s">
        <v>865</v>
      </c>
      <c r="J518" s="2" t="s">
        <v>1596</v>
      </c>
    </row>
    <row r="519" customFormat="false" ht="15" hidden="false" customHeight="false" outlineLevel="0" collapsed="false">
      <c r="C519" s="2" t="s">
        <v>1763</v>
      </c>
      <c r="D519" s="2" t="s">
        <v>37</v>
      </c>
      <c r="E519" s="2" t="s">
        <v>1764</v>
      </c>
      <c r="F519" s="2" t="s">
        <v>469</v>
      </c>
      <c r="G519" s="2" t="s">
        <v>1765</v>
      </c>
      <c r="H519" s="2" t="s">
        <v>41</v>
      </c>
      <c r="I519" s="2" t="s">
        <v>865</v>
      </c>
      <c r="J519" s="2" t="s">
        <v>1596</v>
      </c>
    </row>
    <row r="520" customFormat="false" ht="15" hidden="false" customHeight="false" outlineLevel="0" collapsed="false">
      <c r="C520" s="2" t="s">
        <v>1766</v>
      </c>
      <c r="D520" s="2" t="s">
        <v>37</v>
      </c>
      <c r="E520" s="2" t="s">
        <v>1240</v>
      </c>
      <c r="F520" s="2" t="s">
        <v>956</v>
      </c>
      <c r="G520" s="2" t="s">
        <v>1767</v>
      </c>
      <c r="H520" s="2" t="s">
        <v>41</v>
      </c>
      <c r="I520" s="2" t="s">
        <v>803</v>
      </c>
      <c r="J520" s="2" t="s">
        <v>728</v>
      </c>
    </row>
    <row r="521" customFormat="false" ht="15" hidden="false" customHeight="false" outlineLevel="0" collapsed="false">
      <c r="C521" s="2" t="s">
        <v>1768</v>
      </c>
      <c r="D521" s="2" t="s">
        <v>344</v>
      </c>
      <c r="E521" s="2" t="s">
        <v>1769</v>
      </c>
      <c r="F521" s="2" t="s">
        <v>1769</v>
      </c>
      <c r="G521" s="2" t="s">
        <v>1770</v>
      </c>
      <c r="H521" s="2" t="s">
        <v>41</v>
      </c>
      <c r="J521" s="2" t="s">
        <v>719</v>
      </c>
    </row>
    <row r="522" customFormat="false" ht="15" hidden="false" customHeight="false" outlineLevel="0" collapsed="false">
      <c r="C522" s="2" t="s">
        <v>1771</v>
      </c>
      <c r="D522" s="2" t="s">
        <v>37</v>
      </c>
      <c r="E522" s="2" t="s">
        <v>1772</v>
      </c>
      <c r="F522" s="2" t="s">
        <v>1773</v>
      </c>
      <c r="G522" s="2" t="s">
        <v>1774</v>
      </c>
      <c r="H522" s="2" t="s">
        <v>41</v>
      </c>
      <c r="I522" s="2" t="s">
        <v>417</v>
      </c>
      <c r="J522" s="2" t="s">
        <v>728</v>
      </c>
      <c r="K522" s="2" t="s">
        <v>1775</v>
      </c>
    </row>
    <row r="523" customFormat="false" ht="15" hidden="false" customHeight="false" outlineLevel="0" collapsed="false">
      <c r="C523" s="2" t="s">
        <v>1776</v>
      </c>
      <c r="D523" s="2" t="s">
        <v>37</v>
      </c>
      <c r="E523" s="2" t="s">
        <v>65</v>
      </c>
      <c r="F523" s="2" t="s">
        <v>386</v>
      </c>
      <c r="G523" s="2" t="s">
        <v>1777</v>
      </c>
      <c r="H523" s="2" t="s">
        <v>41</v>
      </c>
      <c r="I523" s="2" t="s">
        <v>219</v>
      </c>
      <c r="K523" s="2" t="s">
        <v>307</v>
      </c>
    </row>
    <row r="524" customFormat="false" ht="15" hidden="false" customHeight="false" outlineLevel="0" collapsed="false">
      <c r="C524" s="2" t="s">
        <v>1778</v>
      </c>
      <c r="D524" s="2" t="s">
        <v>37</v>
      </c>
      <c r="E524" s="2" t="s">
        <v>1779</v>
      </c>
      <c r="F524" s="2" t="s">
        <v>595</v>
      </c>
      <c r="G524" s="2" t="s">
        <v>1780</v>
      </c>
      <c r="H524" s="2" t="s">
        <v>41</v>
      </c>
      <c r="I524" s="2" t="s">
        <v>417</v>
      </c>
      <c r="J524" s="2" t="s">
        <v>748</v>
      </c>
    </row>
    <row r="525" customFormat="false" ht="15" hidden="false" customHeight="false" outlineLevel="0" collapsed="false">
      <c r="C525" s="2" t="s">
        <v>1781</v>
      </c>
      <c r="D525" s="2" t="s">
        <v>37</v>
      </c>
      <c r="E525" s="2" t="s">
        <v>1782</v>
      </c>
      <c r="F525" s="2" t="s">
        <v>582</v>
      </c>
      <c r="G525" s="2" t="s">
        <v>1783</v>
      </c>
      <c r="H525" s="2" t="s">
        <v>41</v>
      </c>
      <c r="I525" s="2" t="s">
        <v>168</v>
      </c>
      <c r="J525" s="2" t="s">
        <v>728</v>
      </c>
      <c r="K525" s="2" t="s">
        <v>1784</v>
      </c>
    </row>
    <row r="526" customFormat="false" ht="15" hidden="false" customHeight="false" outlineLevel="0" collapsed="false">
      <c r="C526" s="2" t="s">
        <v>1785</v>
      </c>
      <c r="D526" s="2" t="s">
        <v>37</v>
      </c>
      <c r="E526" s="2" t="s">
        <v>1786</v>
      </c>
      <c r="F526" s="2" t="s">
        <v>357</v>
      </c>
      <c r="G526" s="2" t="s">
        <v>1787</v>
      </c>
      <c r="I526" s="2" t="s">
        <v>417</v>
      </c>
      <c r="J526" s="2" t="s">
        <v>489</v>
      </c>
    </row>
    <row r="527" customFormat="false" ht="15" hidden="false" customHeight="false" outlineLevel="0" collapsed="false">
      <c r="C527" s="2" t="s">
        <v>1788</v>
      </c>
      <c r="D527" s="2" t="s">
        <v>222</v>
      </c>
      <c r="E527" s="2" t="s">
        <v>87</v>
      </c>
      <c r="F527" s="2" t="s">
        <v>87</v>
      </c>
      <c r="G527" s="2" t="s">
        <v>1789</v>
      </c>
      <c r="H527" s="2" t="s">
        <v>236</v>
      </c>
      <c r="J527" s="2" t="s">
        <v>751</v>
      </c>
    </row>
    <row r="528" customFormat="false" ht="15" hidden="false" customHeight="false" outlineLevel="0" collapsed="false">
      <c r="C528" s="2" t="s">
        <v>1790</v>
      </c>
      <c r="D528" s="2" t="s">
        <v>37</v>
      </c>
      <c r="E528" s="2" t="s">
        <v>1791</v>
      </c>
      <c r="F528" s="2" t="s">
        <v>1792</v>
      </c>
      <c r="G528" s="2" t="s">
        <v>1793</v>
      </c>
      <c r="H528" s="2" t="s">
        <v>41</v>
      </c>
      <c r="I528" s="2" t="s">
        <v>219</v>
      </c>
      <c r="J528" s="2" t="s">
        <v>728</v>
      </c>
      <c r="K528" s="2" t="s">
        <v>1794</v>
      </c>
    </row>
    <row r="529" customFormat="false" ht="15" hidden="false" customHeight="false" outlineLevel="0" collapsed="false">
      <c r="C529" s="2" t="s">
        <v>1795</v>
      </c>
      <c r="D529" s="2" t="s">
        <v>37</v>
      </c>
      <c r="E529" s="2" t="s">
        <v>1265</v>
      </c>
      <c r="F529" s="2" t="s">
        <v>746</v>
      </c>
      <c r="G529" s="2" t="s">
        <v>154</v>
      </c>
      <c r="I529" s="2" t="s">
        <v>803</v>
      </c>
      <c r="J529" s="2" t="s">
        <v>1596</v>
      </c>
      <c r="K529" s="2" t="s">
        <v>1796</v>
      </c>
    </row>
    <row r="530" customFormat="false" ht="15" hidden="false" customHeight="false" outlineLevel="0" collapsed="false">
      <c r="C530" s="2" t="s">
        <v>1797</v>
      </c>
      <c r="D530" s="2" t="s">
        <v>37</v>
      </c>
      <c r="E530" s="2" t="s">
        <v>88</v>
      </c>
      <c r="F530" s="2" t="s">
        <v>857</v>
      </c>
      <c r="G530" s="2" t="s">
        <v>1798</v>
      </c>
      <c r="H530" s="2" t="s">
        <v>41</v>
      </c>
      <c r="I530" s="2" t="s">
        <v>219</v>
      </c>
      <c r="J530" s="2" t="s">
        <v>1596</v>
      </c>
      <c r="K530" s="2" t="s">
        <v>1799</v>
      </c>
    </row>
    <row r="531" customFormat="false" ht="15" hidden="false" customHeight="false" outlineLevel="0" collapsed="false">
      <c r="C531" s="2" t="s">
        <v>1800</v>
      </c>
      <c r="D531" s="2" t="s">
        <v>37</v>
      </c>
      <c r="E531" s="2" t="s">
        <v>386</v>
      </c>
      <c r="F531" s="2" t="s">
        <v>243</v>
      </c>
      <c r="G531" s="2" t="s">
        <v>1801</v>
      </c>
      <c r="H531" s="2" t="s">
        <v>41</v>
      </c>
      <c r="I531" s="2" t="s">
        <v>219</v>
      </c>
      <c r="J531" s="2" t="s">
        <v>728</v>
      </c>
      <c r="K531" s="2" t="s">
        <v>1802</v>
      </c>
    </row>
    <row r="532" customFormat="false" ht="15" hidden="false" customHeight="false" outlineLevel="0" collapsed="false">
      <c r="C532" s="2" t="s">
        <v>1803</v>
      </c>
      <c r="D532" s="2" t="s">
        <v>37</v>
      </c>
      <c r="E532" s="2" t="s">
        <v>105</v>
      </c>
      <c r="F532" s="2" t="s">
        <v>560</v>
      </c>
      <c r="G532" s="2" t="s">
        <v>1804</v>
      </c>
      <c r="H532" s="2" t="s">
        <v>41</v>
      </c>
      <c r="I532" s="2" t="s">
        <v>803</v>
      </c>
      <c r="J532" s="2" t="s">
        <v>751</v>
      </c>
      <c r="K532" s="2" t="s">
        <v>1805</v>
      </c>
    </row>
    <row r="533" customFormat="false" ht="15" hidden="false" customHeight="false" outlineLevel="0" collapsed="false">
      <c r="C533" s="2" t="s">
        <v>1806</v>
      </c>
      <c r="D533" s="2" t="s">
        <v>37</v>
      </c>
      <c r="E533" s="2" t="s">
        <v>665</v>
      </c>
      <c r="F533" s="2" t="s">
        <v>1807</v>
      </c>
      <c r="G533" s="2" t="s">
        <v>1808</v>
      </c>
      <c r="I533" s="2" t="s">
        <v>417</v>
      </c>
      <c r="J533" s="2" t="s">
        <v>719</v>
      </c>
      <c r="K533" s="2" t="s">
        <v>1809</v>
      </c>
    </row>
    <row r="534" customFormat="false" ht="15" hidden="false" customHeight="false" outlineLevel="0" collapsed="false">
      <c r="C534" s="2" t="s">
        <v>1810</v>
      </c>
      <c r="D534" s="2" t="s">
        <v>37</v>
      </c>
      <c r="E534" s="2" t="s">
        <v>233</v>
      </c>
      <c r="F534" s="2" t="s">
        <v>607</v>
      </c>
      <c r="G534" s="2" t="s">
        <v>1811</v>
      </c>
      <c r="H534" s="2" t="s">
        <v>41</v>
      </c>
      <c r="I534" s="2" t="s">
        <v>865</v>
      </c>
      <c r="J534" s="2" t="s">
        <v>748</v>
      </c>
      <c r="K534" s="2" t="s">
        <v>1812</v>
      </c>
    </row>
    <row r="535" customFormat="false" ht="15" hidden="false" customHeight="false" outlineLevel="0" collapsed="false">
      <c r="C535" s="2" t="s">
        <v>124</v>
      </c>
      <c r="G535" s="2" t="s">
        <v>1813</v>
      </c>
      <c r="H535" s="2" t="s">
        <v>41</v>
      </c>
    </row>
    <row r="537" customFormat="false" ht="15" hidden="false" customHeight="false" outlineLevel="0" collapsed="false">
      <c r="A537" s="2" t="s">
        <v>1814</v>
      </c>
      <c r="B537" s="2" t="s">
        <v>1815</v>
      </c>
      <c r="C537" s="2" t="s">
        <v>1816</v>
      </c>
      <c r="D537" s="2" t="s">
        <v>37</v>
      </c>
      <c r="E537" s="2" t="s">
        <v>1177</v>
      </c>
      <c r="F537" s="2" t="s">
        <v>369</v>
      </c>
      <c r="G537" s="2" t="s">
        <v>1817</v>
      </c>
      <c r="H537" s="2" t="s">
        <v>1818</v>
      </c>
      <c r="I537" s="2" t="s">
        <v>161</v>
      </c>
      <c r="J537" s="2" t="s">
        <v>443</v>
      </c>
    </row>
    <row r="538" customFormat="false" ht="15" hidden="false" customHeight="false" outlineLevel="0" collapsed="false">
      <c r="C538" s="2" t="s">
        <v>1819</v>
      </c>
      <c r="D538" s="2" t="s">
        <v>37</v>
      </c>
      <c r="E538" s="2" t="s">
        <v>1328</v>
      </c>
      <c r="F538" s="2" t="s">
        <v>94</v>
      </c>
      <c r="G538" s="2" t="s">
        <v>1820</v>
      </c>
      <c r="H538" s="2" t="s">
        <v>1821</v>
      </c>
      <c r="I538" s="2" t="s">
        <v>168</v>
      </c>
      <c r="J538" s="2" t="s">
        <v>332</v>
      </c>
      <c r="K538" s="2" t="s">
        <v>1822</v>
      </c>
    </row>
    <row r="539" customFormat="false" ht="15" hidden="false" customHeight="false" outlineLevel="0" collapsed="false">
      <c r="C539" s="2" t="s">
        <v>1823</v>
      </c>
      <c r="D539" s="2" t="s">
        <v>37</v>
      </c>
      <c r="E539" s="2" t="s">
        <v>432</v>
      </c>
      <c r="F539" s="2" t="s">
        <v>1824</v>
      </c>
      <c r="G539" s="2" t="s">
        <v>1825</v>
      </c>
      <c r="H539" s="2" t="s">
        <v>1818</v>
      </c>
      <c r="I539" s="2" t="s">
        <v>245</v>
      </c>
      <c r="J539" s="2" t="s">
        <v>137</v>
      </c>
      <c r="K539" s="2" t="s">
        <v>56</v>
      </c>
    </row>
    <row r="540" customFormat="false" ht="15" hidden="false" customHeight="false" outlineLevel="0" collapsed="false">
      <c r="C540" s="2" t="s">
        <v>1826</v>
      </c>
      <c r="D540" s="2" t="s">
        <v>37</v>
      </c>
      <c r="E540" s="2" t="s">
        <v>427</v>
      </c>
      <c r="F540" s="2" t="s">
        <v>120</v>
      </c>
      <c r="G540" s="2" t="s">
        <v>1827</v>
      </c>
      <c r="H540" s="2" t="s">
        <v>1818</v>
      </c>
      <c r="I540" s="2" t="s">
        <v>175</v>
      </c>
      <c r="J540" s="2" t="s">
        <v>321</v>
      </c>
      <c r="K540" s="2" t="s">
        <v>1828</v>
      </c>
    </row>
    <row r="541" customFormat="false" ht="15" hidden="false" customHeight="false" outlineLevel="0" collapsed="false">
      <c r="C541" s="2" t="s">
        <v>1829</v>
      </c>
      <c r="D541" s="2" t="s">
        <v>274</v>
      </c>
      <c r="E541" s="2" t="s">
        <v>114</v>
      </c>
      <c r="G541" s="2" t="s">
        <v>1830</v>
      </c>
      <c r="H541" s="2" t="s">
        <v>1818</v>
      </c>
      <c r="I541" s="2" t="s">
        <v>175</v>
      </c>
      <c r="J541" s="2" t="s">
        <v>321</v>
      </c>
      <c r="K541" s="2" t="s">
        <v>1831</v>
      </c>
    </row>
    <row r="542" customFormat="false" ht="15" hidden="false" customHeight="false" outlineLevel="0" collapsed="false">
      <c r="C542" s="2" t="s">
        <v>124</v>
      </c>
      <c r="G542" s="2" t="s">
        <v>1832</v>
      </c>
      <c r="H542" s="2" t="s">
        <v>1818</v>
      </c>
    </row>
    <row r="543" customFormat="false" ht="15" hidden="false" customHeight="false" outlineLevel="0" collapsed="false">
      <c r="A543" s="2" t="s">
        <v>1833</v>
      </c>
      <c r="B543" s="2" t="s">
        <v>1834</v>
      </c>
      <c r="C543" s="2" t="s">
        <v>1835</v>
      </c>
      <c r="D543" s="2" t="s">
        <v>344</v>
      </c>
      <c r="E543" s="2" t="s">
        <v>1836</v>
      </c>
      <c r="G543" s="2" t="s">
        <v>1837</v>
      </c>
      <c r="H543" s="2" t="s">
        <v>1818</v>
      </c>
      <c r="I543" s="2" t="s">
        <v>225</v>
      </c>
      <c r="J543" s="2" t="s">
        <v>940</v>
      </c>
    </row>
    <row r="544" customFormat="false" ht="15" hidden="false" customHeight="false" outlineLevel="0" collapsed="false">
      <c r="C544" s="2" t="s">
        <v>1838</v>
      </c>
      <c r="D544" s="2" t="s">
        <v>37</v>
      </c>
      <c r="E544" s="2" t="s">
        <v>82</v>
      </c>
      <c r="F544" s="2" t="s">
        <v>83</v>
      </c>
      <c r="G544" s="2" t="s">
        <v>1839</v>
      </c>
      <c r="H544" s="2" t="s">
        <v>1818</v>
      </c>
      <c r="I544" s="2" t="s">
        <v>67</v>
      </c>
      <c r="J544" s="2" t="s">
        <v>694</v>
      </c>
      <c r="K544" s="2" t="s">
        <v>1840</v>
      </c>
    </row>
    <row r="545" customFormat="false" ht="15" hidden="false" customHeight="false" outlineLevel="0" collapsed="false">
      <c r="C545" s="2" t="s">
        <v>1841</v>
      </c>
      <c r="D545" s="2" t="s">
        <v>37</v>
      </c>
      <c r="E545" s="2" t="s">
        <v>1028</v>
      </c>
      <c r="F545" s="2" t="s">
        <v>109</v>
      </c>
      <c r="G545" s="2" t="s">
        <v>1842</v>
      </c>
      <c r="H545" s="2" t="s">
        <v>1843</v>
      </c>
      <c r="I545" s="2" t="s">
        <v>320</v>
      </c>
      <c r="J545" s="2" t="s">
        <v>502</v>
      </c>
      <c r="K545" s="2" t="s">
        <v>1844</v>
      </c>
    </row>
    <row r="546" customFormat="false" ht="15" hidden="false" customHeight="false" outlineLevel="0" collapsed="false">
      <c r="C546" s="2" t="s">
        <v>1845</v>
      </c>
      <c r="D546" s="2" t="s">
        <v>37</v>
      </c>
      <c r="E546" s="2" t="s">
        <v>1846</v>
      </c>
      <c r="G546" s="2" t="s">
        <v>1847</v>
      </c>
      <c r="H546" s="2" t="s">
        <v>1818</v>
      </c>
      <c r="I546" s="2" t="s">
        <v>175</v>
      </c>
      <c r="J546" s="2" t="s">
        <v>502</v>
      </c>
      <c r="K546" s="2" t="s">
        <v>817</v>
      </c>
    </row>
    <row r="547" customFormat="false" ht="15" hidden="false" customHeight="false" outlineLevel="0" collapsed="false">
      <c r="C547" s="2" t="s">
        <v>1848</v>
      </c>
      <c r="D547" s="2" t="s">
        <v>222</v>
      </c>
      <c r="E547" s="2" t="s">
        <v>304</v>
      </c>
      <c r="F547" s="2" t="s">
        <v>304</v>
      </c>
      <c r="G547" s="2" t="s">
        <v>1849</v>
      </c>
      <c r="H547" s="2" t="s">
        <v>1821</v>
      </c>
      <c r="J547" s="2" t="s">
        <v>502</v>
      </c>
    </row>
    <row r="548" customFormat="false" ht="15" hidden="false" customHeight="false" outlineLevel="0" collapsed="false">
      <c r="C548" s="2" t="s">
        <v>1850</v>
      </c>
      <c r="D548" s="2" t="s">
        <v>37</v>
      </c>
      <c r="E548" s="2" t="s">
        <v>298</v>
      </c>
      <c r="F548" s="2" t="s">
        <v>1851</v>
      </c>
      <c r="G548" s="2" t="s">
        <v>1852</v>
      </c>
      <c r="H548" s="2" t="s">
        <v>1818</v>
      </c>
      <c r="I548" s="2" t="s">
        <v>102</v>
      </c>
      <c r="J548" s="2" t="s">
        <v>162</v>
      </c>
      <c r="K548" s="2" t="s">
        <v>847</v>
      </c>
    </row>
    <row r="549" customFormat="false" ht="15" hidden="false" customHeight="false" outlineLevel="0" collapsed="false">
      <c r="C549" s="2" t="s">
        <v>1853</v>
      </c>
      <c r="D549" s="2" t="s">
        <v>274</v>
      </c>
      <c r="E549" s="2" t="s">
        <v>1854</v>
      </c>
      <c r="F549" s="2" t="s">
        <v>234</v>
      </c>
      <c r="G549" s="2" t="s">
        <v>1855</v>
      </c>
      <c r="H549" s="2" t="s">
        <v>1818</v>
      </c>
      <c r="I549" s="2" t="s">
        <v>96</v>
      </c>
      <c r="J549" s="2" t="s">
        <v>489</v>
      </c>
      <c r="K549" s="2" t="s">
        <v>1856</v>
      </c>
    </row>
    <row r="550" customFormat="false" ht="15" hidden="false" customHeight="false" outlineLevel="0" collapsed="false">
      <c r="C550" s="2" t="s">
        <v>124</v>
      </c>
      <c r="G550" s="2" t="s">
        <v>1857</v>
      </c>
      <c r="H550" s="2" t="s">
        <v>1818</v>
      </c>
    </row>
    <row r="552" customFormat="false" ht="15" hidden="false" customHeight="false" outlineLevel="0" collapsed="false">
      <c r="A552" s="2" t="s">
        <v>1858</v>
      </c>
      <c r="B552" s="2" t="s">
        <v>1859</v>
      </c>
      <c r="C552" s="2" t="s">
        <v>1860</v>
      </c>
      <c r="D552" s="2" t="s">
        <v>37</v>
      </c>
      <c r="E552" s="2" t="s">
        <v>1861</v>
      </c>
      <c r="F552" s="2" t="s">
        <v>1862</v>
      </c>
      <c r="G552" s="2" t="s">
        <v>1863</v>
      </c>
      <c r="H552" s="2" t="s">
        <v>41</v>
      </c>
      <c r="I552" s="2" t="s">
        <v>175</v>
      </c>
      <c r="J552" s="2" t="s">
        <v>278</v>
      </c>
      <c r="K552" s="2" t="s">
        <v>1864</v>
      </c>
    </row>
    <row r="553" customFormat="false" ht="15" hidden="false" customHeight="false" outlineLevel="0" collapsed="false">
      <c r="C553" s="2" t="s">
        <v>1865</v>
      </c>
      <c r="D553" s="2" t="s">
        <v>37</v>
      </c>
      <c r="E553" s="2" t="s">
        <v>1866</v>
      </c>
      <c r="G553" s="2" t="s">
        <v>1867</v>
      </c>
      <c r="H553" s="2" t="s">
        <v>41</v>
      </c>
      <c r="I553" s="2" t="s">
        <v>213</v>
      </c>
      <c r="J553" s="2" t="s">
        <v>162</v>
      </c>
      <c r="K553" s="2" t="s">
        <v>1868</v>
      </c>
    </row>
    <row r="554" customFormat="false" ht="15" hidden="false" customHeight="false" outlineLevel="0" collapsed="false">
      <c r="C554" s="2" t="s">
        <v>1869</v>
      </c>
      <c r="D554" s="2" t="s">
        <v>37</v>
      </c>
      <c r="E554" s="2" t="s">
        <v>968</v>
      </c>
      <c r="F554" s="2" t="s">
        <v>1870</v>
      </c>
      <c r="G554" s="2" t="s">
        <v>1871</v>
      </c>
      <c r="H554" s="2" t="s">
        <v>41</v>
      </c>
      <c r="I554" s="2" t="s">
        <v>161</v>
      </c>
      <c r="J554" s="2" t="s">
        <v>162</v>
      </c>
      <c r="K554" s="2" t="s">
        <v>1872</v>
      </c>
    </row>
    <row r="555" customFormat="false" ht="15" hidden="false" customHeight="false" outlineLevel="0" collapsed="false">
      <c r="C555" s="2" t="s">
        <v>124</v>
      </c>
      <c r="G555" s="2" t="s">
        <v>1873</v>
      </c>
      <c r="H555" s="2" t="s">
        <v>41</v>
      </c>
    </row>
    <row r="556" customFormat="false" ht="15" hidden="false" customHeight="false" outlineLevel="0" collapsed="false">
      <c r="A556" s="2" t="s">
        <v>1874</v>
      </c>
      <c r="B556" s="2" t="s">
        <v>1875</v>
      </c>
      <c r="C556" s="2" t="s">
        <v>1876</v>
      </c>
      <c r="D556" s="2" t="s">
        <v>37</v>
      </c>
      <c r="E556" s="2" t="s">
        <v>898</v>
      </c>
      <c r="F556" s="2" t="s">
        <v>94</v>
      </c>
      <c r="G556" s="2" t="s">
        <v>1877</v>
      </c>
      <c r="H556" s="2" t="s">
        <v>1818</v>
      </c>
      <c r="I556" s="2" t="s">
        <v>219</v>
      </c>
      <c r="J556" s="2" t="s">
        <v>132</v>
      </c>
      <c r="K556" s="2" t="s">
        <v>1878</v>
      </c>
    </row>
    <row r="557" customFormat="false" ht="15" hidden="false" customHeight="false" outlineLevel="0" collapsed="false">
      <c r="C557" s="2" t="s">
        <v>1879</v>
      </c>
      <c r="D557" s="2" t="s">
        <v>37</v>
      </c>
      <c r="E557" s="2" t="s">
        <v>1880</v>
      </c>
      <c r="F557" s="2" t="s">
        <v>1881</v>
      </c>
      <c r="G557" s="2" t="s">
        <v>1882</v>
      </c>
      <c r="H557" s="2" t="s">
        <v>1843</v>
      </c>
      <c r="I557" s="2" t="s">
        <v>417</v>
      </c>
      <c r="J557" s="2" t="s">
        <v>321</v>
      </c>
      <c r="K557" s="2" t="s">
        <v>1883</v>
      </c>
    </row>
    <row r="558" customFormat="false" ht="15" hidden="false" customHeight="false" outlineLevel="0" collapsed="false">
      <c r="C558" s="2" t="s">
        <v>1884</v>
      </c>
      <c r="D558" s="2" t="s">
        <v>37</v>
      </c>
      <c r="E558" s="2" t="s">
        <v>1885</v>
      </c>
      <c r="F558" s="2" t="s">
        <v>1886</v>
      </c>
      <c r="G558" s="2" t="s">
        <v>1887</v>
      </c>
      <c r="H558" s="2" t="s">
        <v>1818</v>
      </c>
      <c r="I558" s="2" t="s">
        <v>219</v>
      </c>
      <c r="J558" s="2" t="s">
        <v>132</v>
      </c>
      <c r="K558" s="2" t="s">
        <v>1888</v>
      </c>
    </row>
    <row r="559" customFormat="false" ht="15" hidden="false" customHeight="false" outlineLevel="0" collapsed="false">
      <c r="C559" s="2" t="s">
        <v>1889</v>
      </c>
      <c r="D559" s="2" t="s">
        <v>917</v>
      </c>
      <c r="E559" s="2" t="s">
        <v>650</v>
      </c>
      <c r="F559" s="2" t="s">
        <v>650</v>
      </c>
      <c r="G559" s="2" t="s">
        <v>1890</v>
      </c>
      <c r="H559" s="2" t="s">
        <v>1818</v>
      </c>
      <c r="J559" s="2" t="s">
        <v>132</v>
      </c>
      <c r="K559" s="2" t="s">
        <v>1891</v>
      </c>
    </row>
    <row r="560" customFormat="false" ht="15" hidden="false" customHeight="false" outlineLevel="0" collapsed="false">
      <c r="C560" s="2" t="s">
        <v>124</v>
      </c>
      <c r="G560" s="2" t="s">
        <v>1892</v>
      </c>
      <c r="H560" s="2" t="s">
        <v>1818</v>
      </c>
    </row>
    <row r="561" customFormat="false" ht="15" hidden="false" customHeight="false" outlineLevel="0" collapsed="false">
      <c r="A561" s="2" t="s">
        <v>1893</v>
      </c>
      <c r="B561" s="2" t="s">
        <v>1894</v>
      </c>
      <c r="C561" s="2" t="s">
        <v>1895</v>
      </c>
      <c r="D561" s="2" t="s">
        <v>37</v>
      </c>
      <c r="E561" s="2" t="s">
        <v>1896</v>
      </c>
      <c r="F561" s="2" t="s">
        <v>1897</v>
      </c>
      <c r="G561" s="2" t="s">
        <v>1898</v>
      </c>
      <c r="H561" s="2" t="s">
        <v>41</v>
      </c>
      <c r="I561" s="2" t="s">
        <v>96</v>
      </c>
      <c r="J561" s="2" t="s">
        <v>68</v>
      </c>
      <c r="K561" s="2" t="s">
        <v>138</v>
      </c>
    </row>
    <row r="562" customFormat="false" ht="15" hidden="false" customHeight="false" outlineLevel="0" collapsed="false">
      <c r="C562" s="2" t="s">
        <v>1899</v>
      </c>
      <c r="D562" s="2" t="s">
        <v>37</v>
      </c>
      <c r="E562" s="2" t="s">
        <v>1900</v>
      </c>
      <c r="F562" s="2" t="s">
        <v>1901</v>
      </c>
      <c r="G562" s="2" t="s">
        <v>1902</v>
      </c>
      <c r="H562" s="2" t="s">
        <v>41</v>
      </c>
      <c r="I562" s="2" t="s">
        <v>336</v>
      </c>
      <c r="J562" s="2" t="s">
        <v>43</v>
      </c>
      <c r="K562" s="2" t="s">
        <v>1903</v>
      </c>
      <c r="L562" s="2" t="s">
        <v>1904</v>
      </c>
    </row>
    <row r="563" customFormat="false" ht="15" hidden="false" customHeight="false" outlineLevel="0" collapsed="false">
      <c r="A563" s="2" t="s">
        <v>1905</v>
      </c>
    </row>
    <row r="565" customFormat="false" ht="15" hidden="false" customHeight="false" outlineLevel="0" collapsed="false">
      <c r="A565" s="2" t="s">
        <v>17</v>
      </c>
      <c r="G565" s="2" t="s">
        <v>261</v>
      </c>
    </row>
    <row r="566" customFormat="false" ht="15" hidden="false" customHeight="false" outlineLevel="0" collapsed="false">
      <c r="A566" s="2" t="s">
        <v>22</v>
      </c>
      <c r="B566" s="2" t="s">
        <v>23</v>
      </c>
      <c r="C566" s="2" t="s">
        <v>24</v>
      </c>
      <c r="D566" s="2" t="s">
        <v>25</v>
      </c>
      <c r="E566" s="2" t="s">
        <v>26</v>
      </c>
      <c r="F566" s="2" t="s">
        <v>27</v>
      </c>
      <c r="G566" s="2" t="s">
        <v>28</v>
      </c>
      <c r="H566" s="2" t="s">
        <v>29</v>
      </c>
      <c r="I566" s="2" t="s">
        <v>30</v>
      </c>
      <c r="J566" s="2" t="s">
        <v>31</v>
      </c>
      <c r="K566" s="2" t="s">
        <v>32</v>
      </c>
      <c r="L566" s="2" t="s">
        <v>33</v>
      </c>
    </row>
    <row r="567" customFormat="false" ht="15" hidden="false" customHeight="false" outlineLevel="0" collapsed="false">
      <c r="A567" s="2" t="s">
        <v>1893</v>
      </c>
      <c r="C567" s="2" t="s">
        <v>1899</v>
      </c>
      <c r="D567" s="2" t="s">
        <v>37</v>
      </c>
      <c r="E567" s="2" t="s">
        <v>1900</v>
      </c>
      <c r="F567" s="2" t="s">
        <v>1901</v>
      </c>
      <c r="G567" s="2" t="s">
        <v>1902</v>
      </c>
      <c r="H567" s="2" t="s">
        <v>41</v>
      </c>
      <c r="I567" s="2" t="s">
        <v>336</v>
      </c>
      <c r="J567" s="2" t="s">
        <v>43</v>
      </c>
      <c r="K567" s="2" t="s">
        <v>1903</v>
      </c>
      <c r="L567" s="2" t="s">
        <v>1904</v>
      </c>
    </row>
    <row r="568" customFormat="false" ht="15" hidden="false" customHeight="false" outlineLevel="0" collapsed="false">
      <c r="A568" s="2" t="s">
        <v>1893</v>
      </c>
      <c r="C568" s="2" t="s">
        <v>1906</v>
      </c>
      <c r="D568" s="2" t="s">
        <v>37</v>
      </c>
      <c r="E568" s="2" t="s">
        <v>794</v>
      </c>
      <c r="F568" s="2" t="s">
        <v>938</v>
      </c>
      <c r="G568" s="2" t="s">
        <v>1907</v>
      </c>
      <c r="H568" s="2" t="s">
        <v>236</v>
      </c>
      <c r="I568" s="2" t="s">
        <v>96</v>
      </c>
      <c r="J568" s="2" t="s">
        <v>55</v>
      </c>
      <c r="K568" s="2" t="s">
        <v>1908</v>
      </c>
      <c r="L568" s="2" t="s">
        <v>798</v>
      </c>
    </row>
    <row r="569" customFormat="false" ht="15" hidden="false" customHeight="false" outlineLevel="0" collapsed="false">
      <c r="C569" s="2" t="s">
        <v>1909</v>
      </c>
      <c r="D569" s="2" t="s">
        <v>281</v>
      </c>
      <c r="E569" s="2" t="s">
        <v>1910</v>
      </c>
      <c r="F569" s="2" t="s">
        <v>1911</v>
      </c>
      <c r="G569" s="2" t="s">
        <v>1912</v>
      </c>
      <c r="H569" s="2" t="s">
        <v>41</v>
      </c>
      <c r="I569" s="2" t="s">
        <v>320</v>
      </c>
      <c r="J569" s="2" t="s">
        <v>68</v>
      </c>
      <c r="K569" s="2" t="s">
        <v>1640</v>
      </c>
    </row>
    <row r="570" customFormat="false" ht="15" hidden="false" customHeight="false" outlineLevel="0" collapsed="false">
      <c r="C570" s="2" t="s">
        <v>1913</v>
      </c>
      <c r="D570" s="2" t="s">
        <v>281</v>
      </c>
      <c r="E570" s="2" t="s">
        <v>59</v>
      </c>
      <c r="F570" s="2" t="s">
        <v>1914</v>
      </c>
      <c r="G570" s="2" t="s">
        <v>1915</v>
      </c>
      <c r="H570" s="2" t="s">
        <v>41</v>
      </c>
      <c r="I570" s="2" t="s">
        <v>122</v>
      </c>
      <c r="J570" s="2" t="s">
        <v>43</v>
      </c>
    </row>
    <row r="571" customFormat="false" ht="15" hidden="false" customHeight="false" outlineLevel="0" collapsed="false">
      <c r="C571" s="2" t="s">
        <v>1916</v>
      </c>
      <c r="D571" s="2" t="s">
        <v>37</v>
      </c>
      <c r="E571" s="2" t="s">
        <v>1917</v>
      </c>
      <c r="F571" s="2" t="s">
        <v>822</v>
      </c>
      <c r="G571" s="2" t="s">
        <v>1918</v>
      </c>
      <c r="H571" s="2" t="s">
        <v>41</v>
      </c>
      <c r="I571" s="2" t="s">
        <v>42</v>
      </c>
      <c r="J571" s="2" t="s">
        <v>68</v>
      </c>
      <c r="K571" s="2" t="s">
        <v>1919</v>
      </c>
    </row>
    <row r="572" customFormat="false" ht="15" hidden="false" customHeight="false" outlineLevel="0" collapsed="false">
      <c r="C572" s="2" t="s">
        <v>1920</v>
      </c>
      <c r="D572" s="2" t="s">
        <v>37</v>
      </c>
      <c r="E572" s="2" t="s">
        <v>1351</v>
      </c>
      <c r="F572" s="2" t="s">
        <v>1352</v>
      </c>
      <c r="G572" s="2" t="s">
        <v>1921</v>
      </c>
      <c r="H572" s="2" t="s">
        <v>41</v>
      </c>
      <c r="I572" s="2" t="s">
        <v>42</v>
      </c>
      <c r="J572" s="2" t="s">
        <v>43</v>
      </c>
    </row>
    <row r="573" customFormat="false" ht="15" hidden="false" customHeight="false" outlineLevel="0" collapsed="false">
      <c r="C573" s="2" t="s">
        <v>1922</v>
      </c>
      <c r="D573" s="2" t="s">
        <v>37</v>
      </c>
      <c r="E573" s="2" t="s">
        <v>1923</v>
      </c>
      <c r="F573" s="2" t="s">
        <v>1924</v>
      </c>
      <c r="G573" s="2" t="s">
        <v>1925</v>
      </c>
      <c r="H573" s="2" t="s">
        <v>41</v>
      </c>
      <c r="I573" s="2" t="s">
        <v>42</v>
      </c>
      <c r="K573" s="2" t="s">
        <v>1926</v>
      </c>
    </row>
    <row r="574" customFormat="false" ht="15" hidden="false" customHeight="false" outlineLevel="0" collapsed="false">
      <c r="C574" s="2" t="s">
        <v>1927</v>
      </c>
      <c r="D574" s="2" t="s">
        <v>274</v>
      </c>
      <c r="E574" s="2" t="s">
        <v>1928</v>
      </c>
      <c r="G574" s="2" t="s">
        <v>1929</v>
      </c>
      <c r="H574" s="2" t="s">
        <v>41</v>
      </c>
      <c r="I574" s="2" t="s">
        <v>42</v>
      </c>
      <c r="J574" s="2" t="s">
        <v>43</v>
      </c>
      <c r="K574" s="2" t="s">
        <v>1930</v>
      </c>
    </row>
    <row r="575" customFormat="false" ht="15" hidden="false" customHeight="false" outlineLevel="0" collapsed="false">
      <c r="C575" s="2" t="s">
        <v>1931</v>
      </c>
      <c r="D575" s="2" t="s">
        <v>37</v>
      </c>
      <c r="E575" s="2" t="s">
        <v>665</v>
      </c>
      <c r="F575" s="2" t="s">
        <v>1932</v>
      </c>
      <c r="G575" s="2" t="s">
        <v>1933</v>
      </c>
      <c r="H575" s="2" t="s">
        <v>41</v>
      </c>
      <c r="I575" s="2" t="s">
        <v>74</v>
      </c>
      <c r="J575" s="2" t="s">
        <v>90</v>
      </c>
      <c r="K575" s="2" t="s">
        <v>1934</v>
      </c>
    </row>
    <row r="576" customFormat="false" ht="15" hidden="false" customHeight="false" outlineLevel="0" collapsed="false">
      <c r="C576" s="2" t="s">
        <v>124</v>
      </c>
      <c r="G576" s="2" t="s">
        <v>1935</v>
      </c>
      <c r="H576" s="2" t="s">
        <v>41</v>
      </c>
    </row>
    <row r="578" customFormat="false" ht="15" hidden="false" customHeight="false" outlineLevel="0" collapsed="false">
      <c r="A578" s="2" t="s">
        <v>1936</v>
      </c>
      <c r="B578" s="2" t="s">
        <v>1937</v>
      </c>
      <c r="C578" s="2" t="s">
        <v>1938</v>
      </c>
      <c r="D578" s="2" t="s">
        <v>37</v>
      </c>
      <c r="E578" s="2" t="s">
        <v>173</v>
      </c>
      <c r="F578" s="2" t="s">
        <v>1523</v>
      </c>
      <c r="G578" s="2" t="s">
        <v>1939</v>
      </c>
      <c r="H578" s="2" t="s">
        <v>41</v>
      </c>
      <c r="I578" s="2" t="s">
        <v>175</v>
      </c>
      <c r="J578" s="2" t="s">
        <v>694</v>
      </c>
    </row>
    <row r="579" customFormat="false" ht="15" hidden="false" customHeight="false" outlineLevel="0" collapsed="false">
      <c r="C579" s="2" t="s">
        <v>1940</v>
      </c>
      <c r="D579" s="2" t="s">
        <v>81</v>
      </c>
      <c r="E579" s="2" t="s">
        <v>1112</v>
      </c>
      <c r="F579" s="2" t="s">
        <v>590</v>
      </c>
      <c r="G579" s="2" t="s">
        <v>1941</v>
      </c>
      <c r="H579" s="2" t="s">
        <v>41</v>
      </c>
      <c r="I579" s="2" t="s">
        <v>213</v>
      </c>
      <c r="J579" s="2" t="s">
        <v>502</v>
      </c>
      <c r="K579" s="2" t="s">
        <v>1942</v>
      </c>
    </row>
    <row r="580" customFormat="false" ht="15" hidden="false" customHeight="false" outlineLevel="0" collapsed="false">
      <c r="C580" s="2" t="s">
        <v>1943</v>
      </c>
      <c r="D580" s="2" t="s">
        <v>37</v>
      </c>
      <c r="E580" s="2" t="s">
        <v>1261</v>
      </c>
      <c r="F580" s="2" t="s">
        <v>1944</v>
      </c>
      <c r="G580" s="2" t="s">
        <v>1945</v>
      </c>
      <c r="H580" s="2" t="s">
        <v>41</v>
      </c>
      <c r="I580" s="2" t="s">
        <v>175</v>
      </c>
      <c r="J580" s="2" t="s">
        <v>502</v>
      </c>
      <c r="K580" s="2" t="s">
        <v>1946</v>
      </c>
    </row>
    <row r="581" customFormat="false" ht="15" hidden="false" customHeight="false" outlineLevel="0" collapsed="false">
      <c r="C581" s="2" t="s">
        <v>1947</v>
      </c>
      <c r="D581" s="2" t="s">
        <v>37</v>
      </c>
      <c r="E581" s="2" t="s">
        <v>582</v>
      </c>
      <c r="F581" s="2" t="s">
        <v>478</v>
      </c>
      <c r="G581" s="2" t="s">
        <v>1948</v>
      </c>
      <c r="H581" s="2" t="s">
        <v>41</v>
      </c>
      <c r="I581" s="2" t="s">
        <v>245</v>
      </c>
      <c r="J581" s="2" t="s">
        <v>489</v>
      </c>
      <c r="K581" s="2" t="s">
        <v>1949</v>
      </c>
    </row>
    <row r="582" customFormat="false" ht="15" hidden="false" customHeight="false" outlineLevel="0" collapsed="false">
      <c r="C582" s="2" t="s">
        <v>1950</v>
      </c>
      <c r="D582" s="2" t="s">
        <v>37</v>
      </c>
      <c r="E582" s="2" t="s">
        <v>1717</v>
      </c>
      <c r="F582" s="2" t="s">
        <v>1034</v>
      </c>
      <c r="G582" s="2" t="s">
        <v>1951</v>
      </c>
      <c r="H582" s="2" t="s">
        <v>41</v>
      </c>
      <c r="I582" s="2" t="s">
        <v>161</v>
      </c>
      <c r="J582" s="2" t="s">
        <v>502</v>
      </c>
      <c r="K582" s="2" t="s">
        <v>1952</v>
      </c>
    </row>
    <row r="583" customFormat="false" ht="15" hidden="false" customHeight="false" outlineLevel="0" collapsed="false">
      <c r="C583" s="2" t="s">
        <v>124</v>
      </c>
      <c r="G583" s="2" t="s">
        <v>1953</v>
      </c>
      <c r="H583" s="2" t="s">
        <v>41</v>
      </c>
    </row>
    <row r="585" customFormat="false" ht="15" hidden="false" customHeight="false" outlineLevel="0" collapsed="false">
      <c r="A585" s="2" t="s">
        <v>1954</v>
      </c>
      <c r="B585" s="2" t="s">
        <v>1955</v>
      </c>
      <c r="C585" s="2" t="s">
        <v>1956</v>
      </c>
      <c r="D585" s="2" t="s">
        <v>37</v>
      </c>
      <c r="E585" s="2" t="s">
        <v>1957</v>
      </c>
      <c r="F585" s="2" t="s">
        <v>1958</v>
      </c>
      <c r="G585" s="2" t="s">
        <v>1959</v>
      </c>
      <c r="H585" s="2" t="s">
        <v>54</v>
      </c>
      <c r="I585" s="2" t="s">
        <v>175</v>
      </c>
      <c r="J585" s="2" t="s">
        <v>49</v>
      </c>
    </row>
    <row r="586" customFormat="false" ht="15" hidden="false" customHeight="false" outlineLevel="0" collapsed="false">
      <c r="C586" s="2" t="s">
        <v>1960</v>
      </c>
      <c r="D586" s="2" t="s">
        <v>37</v>
      </c>
      <c r="E586" s="2" t="s">
        <v>1235</v>
      </c>
      <c r="F586" s="2" t="s">
        <v>686</v>
      </c>
      <c r="G586" s="2" t="s">
        <v>1961</v>
      </c>
      <c r="H586" s="2" t="s">
        <v>41</v>
      </c>
      <c r="I586" s="2" t="s">
        <v>175</v>
      </c>
      <c r="J586" s="2" t="s">
        <v>43</v>
      </c>
      <c r="K586" s="2" t="s">
        <v>1308</v>
      </c>
      <c r="L586" s="2" t="s">
        <v>1904</v>
      </c>
    </row>
    <row r="587" customFormat="false" ht="15" hidden="false" customHeight="false" outlineLevel="0" collapsed="false">
      <c r="C587" s="2" t="s">
        <v>1962</v>
      </c>
      <c r="D587" s="2" t="s">
        <v>344</v>
      </c>
      <c r="E587" s="2" t="s">
        <v>905</v>
      </c>
      <c r="G587" s="2" t="s">
        <v>1963</v>
      </c>
      <c r="H587" s="2" t="s">
        <v>41</v>
      </c>
      <c r="J587" s="2" t="s">
        <v>90</v>
      </c>
    </row>
    <row r="588" customFormat="false" ht="15" hidden="false" customHeight="false" outlineLevel="0" collapsed="false">
      <c r="C588" s="2" t="s">
        <v>1964</v>
      </c>
      <c r="D588" s="2" t="s">
        <v>281</v>
      </c>
      <c r="E588" s="2" t="s">
        <v>1965</v>
      </c>
      <c r="F588" s="2" t="s">
        <v>135</v>
      </c>
      <c r="G588" s="2" t="s">
        <v>1966</v>
      </c>
      <c r="H588" s="2" t="s">
        <v>41</v>
      </c>
      <c r="I588" s="2" t="s">
        <v>175</v>
      </c>
      <c r="J588" s="2" t="s">
        <v>43</v>
      </c>
      <c r="K588" s="2" t="s">
        <v>1967</v>
      </c>
    </row>
    <row r="589" customFormat="false" ht="15" hidden="false" customHeight="false" outlineLevel="0" collapsed="false">
      <c r="C589" s="2" t="s">
        <v>1968</v>
      </c>
      <c r="D589" s="2" t="s">
        <v>37</v>
      </c>
      <c r="E589" s="2" t="s">
        <v>1717</v>
      </c>
      <c r="F589" s="2" t="s">
        <v>1034</v>
      </c>
      <c r="G589" s="2" t="s">
        <v>1969</v>
      </c>
      <c r="H589" s="2" t="s">
        <v>41</v>
      </c>
      <c r="I589" s="2" t="s">
        <v>175</v>
      </c>
      <c r="J589" s="2" t="s">
        <v>90</v>
      </c>
      <c r="K589" s="2" t="s">
        <v>1970</v>
      </c>
    </row>
    <row r="591" customFormat="false" ht="15" hidden="false" customHeight="false" outlineLevel="0" collapsed="false">
      <c r="C591" s="2" t="s">
        <v>1971</v>
      </c>
      <c r="D591" s="2" t="s">
        <v>37</v>
      </c>
      <c r="E591" s="2" t="s">
        <v>590</v>
      </c>
      <c r="F591" s="2" t="s">
        <v>1039</v>
      </c>
      <c r="G591" s="2" t="s">
        <v>1972</v>
      </c>
      <c r="H591" s="2" t="s">
        <v>41</v>
      </c>
      <c r="I591" s="2" t="s">
        <v>175</v>
      </c>
      <c r="J591" s="2" t="s">
        <v>43</v>
      </c>
      <c r="K591" s="2" t="s">
        <v>1973</v>
      </c>
    </row>
    <row r="592" customFormat="false" ht="15" hidden="false" customHeight="false" outlineLevel="0" collapsed="false">
      <c r="C592" s="2" t="s">
        <v>1974</v>
      </c>
      <c r="D592" s="2" t="s">
        <v>274</v>
      </c>
      <c r="E592" s="2" t="s">
        <v>1975</v>
      </c>
      <c r="F592" s="2" t="s">
        <v>1976</v>
      </c>
      <c r="G592" s="2" t="s">
        <v>1977</v>
      </c>
      <c r="H592" s="2" t="s">
        <v>41</v>
      </c>
      <c r="I592" s="2" t="s">
        <v>175</v>
      </c>
      <c r="J592" s="2" t="s">
        <v>43</v>
      </c>
      <c r="K592" s="2" t="s">
        <v>1978</v>
      </c>
    </row>
    <row r="593" customFormat="false" ht="15" hidden="false" customHeight="false" outlineLevel="0" collapsed="false">
      <c r="C593" s="2" t="s">
        <v>1979</v>
      </c>
      <c r="D593" s="2" t="s">
        <v>37</v>
      </c>
      <c r="E593" s="2" t="s">
        <v>357</v>
      </c>
      <c r="F593" s="2" t="s">
        <v>1498</v>
      </c>
      <c r="G593" s="2" t="s">
        <v>1980</v>
      </c>
      <c r="H593" s="2" t="s">
        <v>41</v>
      </c>
      <c r="I593" s="2" t="s">
        <v>245</v>
      </c>
      <c r="J593" s="2" t="s">
        <v>68</v>
      </c>
      <c r="K593" s="2" t="s">
        <v>1981</v>
      </c>
    </row>
    <row r="594" customFormat="false" ht="15" hidden="false" customHeight="false" outlineLevel="0" collapsed="false">
      <c r="C594" s="2" t="s">
        <v>124</v>
      </c>
      <c r="G594" s="2" t="s">
        <v>1982</v>
      </c>
      <c r="H594" s="2" t="s">
        <v>41</v>
      </c>
    </row>
    <row r="596" customFormat="false" ht="15" hidden="false" customHeight="false" outlineLevel="0" collapsed="false">
      <c r="A596" s="2" t="s">
        <v>1983</v>
      </c>
      <c r="B596" s="2" t="s">
        <v>1984</v>
      </c>
      <c r="C596" s="2" t="s">
        <v>1985</v>
      </c>
      <c r="D596" s="2" t="s">
        <v>37</v>
      </c>
      <c r="E596" s="2" t="s">
        <v>374</v>
      </c>
      <c r="F596" s="2" t="s">
        <v>1464</v>
      </c>
      <c r="G596" s="2" t="s">
        <v>1986</v>
      </c>
      <c r="H596" s="2" t="s">
        <v>54</v>
      </c>
      <c r="I596" s="2" t="s">
        <v>161</v>
      </c>
      <c r="J596" s="2" t="s">
        <v>43</v>
      </c>
      <c r="K596" s="2" t="s">
        <v>307</v>
      </c>
    </row>
    <row r="597" customFormat="false" ht="15" hidden="false" customHeight="false" outlineLevel="0" collapsed="false">
      <c r="C597" s="2" t="s">
        <v>1987</v>
      </c>
      <c r="D597" s="2" t="s">
        <v>329</v>
      </c>
      <c r="E597" s="2" t="s">
        <v>1988</v>
      </c>
      <c r="F597" s="2" t="s">
        <v>1988</v>
      </c>
      <c r="G597" s="2" t="s">
        <v>1989</v>
      </c>
      <c r="H597" s="2" t="s">
        <v>41</v>
      </c>
      <c r="J597" s="2" t="s">
        <v>43</v>
      </c>
      <c r="K597" s="2" t="s">
        <v>1990</v>
      </c>
    </row>
    <row r="598" customFormat="false" ht="15" hidden="false" customHeight="false" outlineLevel="0" collapsed="false">
      <c r="C598" s="2" t="s">
        <v>1991</v>
      </c>
      <c r="D598" s="2" t="s">
        <v>37</v>
      </c>
      <c r="E598" s="2" t="s">
        <v>1769</v>
      </c>
      <c r="F598" s="2" t="s">
        <v>1965</v>
      </c>
      <c r="G598" s="2" t="s">
        <v>1992</v>
      </c>
      <c r="H598" s="2" t="s">
        <v>41</v>
      </c>
      <c r="I598" s="2" t="s">
        <v>175</v>
      </c>
      <c r="J598" s="2" t="s">
        <v>49</v>
      </c>
    </row>
    <row r="599" customFormat="false" ht="15" hidden="false" customHeight="false" outlineLevel="0" collapsed="false">
      <c r="C599" s="2" t="s">
        <v>1993</v>
      </c>
      <c r="D599" s="2" t="s">
        <v>37</v>
      </c>
      <c r="E599" s="2" t="s">
        <v>1994</v>
      </c>
      <c r="F599" s="2" t="s">
        <v>1995</v>
      </c>
      <c r="G599" s="2" t="s">
        <v>969</v>
      </c>
      <c r="H599" s="2" t="s">
        <v>41</v>
      </c>
      <c r="I599" s="2" t="s">
        <v>161</v>
      </c>
      <c r="J599" s="2" t="s">
        <v>43</v>
      </c>
      <c r="K599" s="2" t="s">
        <v>1996</v>
      </c>
    </row>
    <row r="600" customFormat="false" ht="15" hidden="false" customHeight="false" outlineLevel="0" collapsed="false">
      <c r="C600" s="2" t="s">
        <v>1997</v>
      </c>
      <c r="D600" s="2" t="s">
        <v>37</v>
      </c>
      <c r="E600" s="2" t="s">
        <v>1782</v>
      </c>
      <c r="F600" s="2" t="s">
        <v>582</v>
      </c>
      <c r="G600" s="2" t="s">
        <v>1998</v>
      </c>
      <c r="H600" s="2" t="s">
        <v>41</v>
      </c>
      <c r="I600" s="2" t="s">
        <v>175</v>
      </c>
      <c r="J600" s="2" t="s">
        <v>68</v>
      </c>
      <c r="K600" s="2" t="s">
        <v>1999</v>
      </c>
    </row>
    <row r="601" customFormat="false" ht="15" hidden="false" customHeight="false" outlineLevel="0" collapsed="false">
      <c r="C601" s="2" t="s">
        <v>2000</v>
      </c>
      <c r="D601" s="2" t="s">
        <v>37</v>
      </c>
      <c r="E601" s="2" t="s">
        <v>2001</v>
      </c>
      <c r="F601" s="2" t="s">
        <v>2002</v>
      </c>
      <c r="G601" s="2" t="s">
        <v>2003</v>
      </c>
      <c r="H601" s="2" t="s">
        <v>236</v>
      </c>
      <c r="J601" s="2" t="s">
        <v>43</v>
      </c>
    </row>
    <row r="602" customFormat="false" ht="15" hidden="false" customHeight="false" outlineLevel="0" collapsed="false">
      <c r="C602" s="2" t="s">
        <v>124</v>
      </c>
      <c r="G602" s="2" t="s">
        <v>2004</v>
      </c>
      <c r="H602" s="2" t="s">
        <v>41</v>
      </c>
    </row>
    <row r="604" customFormat="false" ht="15" hidden="false" customHeight="false" outlineLevel="0" collapsed="false">
      <c r="A604" s="2" t="s">
        <v>2005</v>
      </c>
      <c r="B604" s="2" t="s">
        <v>2006</v>
      </c>
      <c r="C604" s="2" t="s">
        <v>2007</v>
      </c>
      <c r="D604" s="2" t="s">
        <v>37</v>
      </c>
      <c r="E604" s="2" t="s">
        <v>979</v>
      </c>
      <c r="F604" s="2" t="s">
        <v>2008</v>
      </c>
      <c r="G604" s="2" t="s">
        <v>2009</v>
      </c>
      <c r="H604" s="2" t="s">
        <v>41</v>
      </c>
      <c r="I604" s="2" t="s">
        <v>417</v>
      </c>
      <c r="J604" s="2" t="s">
        <v>137</v>
      </c>
      <c r="K604" s="2" t="s">
        <v>2010</v>
      </c>
    </row>
    <row r="605" customFormat="false" ht="15" hidden="false" customHeight="false" outlineLevel="0" collapsed="false">
      <c r="C605" s="2" t="s">
        <v>2011</v>
      </c>
      <c r="D605" s="2" t="s">
        <v>37</v>
      </c>
      <c r="E605" s="2" t="s">
        <v>2012</v>
      </c>
      <c r="F605" s="2" t="s">
        <v>1196</v>
      </c>
      <c r="G605" s="2" t="s">
        <v>2013</v>
      </c>
      <c r="H605" s="2" t="s">
        <v>41</v>
      </c>
      <c r="I605" s="2" t="s">
        <v>417</v>
      </c>
      <c r="J605" s="2" t="s">
        <v>137</v>
      </c>
      <c r="K605" s="2" t="s">
        <v>2014</v>
      </c>
    </row>
    <row r="606" customFormat="false" ht="15" hidden="false" customHeight="false" outlineLevel="0" collapsed="false">
      <c r="C606" s="2" t="s">
        <v>2015</v>
      </c>
      <c r="D606" s="2" t="s">
        <v>171</v>
      </c>
      <c r="E606" s="2" t="s">
        <v>317</v>
      </c>
      <c r="F606" s="2" t="s">
        <v>495</v>
      </c>
      <c r="G606" s="2" t="s">
        <v>2016</v>
      </c>
      <c r="H606" s="2" t="s">
        <v>41</v>
      </c>
      <c r="I606" s="2" t="s">
        <v>417</v>
      </c>
      <c r="J606" s="2" t="s">
        <v>132</v>
      </c>
      <c r="L606" s="2" t="s">
        <v>549</v>
      </c>
    </row>
    <row r="607" customFormat="false" ht="15" hidden="false" customHeight="false" outlineLevel="0" collapsed="false">
      <c r="C607" s="2" t="s">
        <v>2017</v>
      </c>
      <c r="D607" s="2" t="s">
        <v>37</v>
      </c>
      <c r="E607" s="2" t="s">
        <v>173</v>
      </c>
      <c r="F607" s="2" t="s">
        <v>1256</v>
      </c>
      <c r="G607" s="2" t="s">
        <v>2018</v>
      </c>
      <c r="H607" s="2" t="s">
        <v>41</v>
      </c>
      <c r="I607" s="2" t="s">
        <v>219</v>
      </c>
      <c r="J607" s="2" t="s">
        <v>137</v>
      </c>
      <c r="K607" s="2" t="s">
        <v>2019</v>
      </c>
    </row>
    <row r="608" customFormat="false" ht="15" hidden="false" customHeight="false" outlineLevel="0" collapsed="false">
      <c r="C608" s="2" t="s">
        <v>2020</v>
      </c>
      <c r="D608" s="2" t="s">
        <v>37</v>
      </c>
      <c r="E608" s="2" t="s">
        <v>1523</v>
      </c>
      <c r="F608" s="2" t="s">
        <v>1265</v>
      </c>
      <c r="G608" s="2" t="s">
        <v>2021</v>
      </c>
      <c r="I608" s="2" t="s">
        <v>803</v>
      </c>
      <c r="J608" s="2" t="s">
        <v>132</v>
      </c>
    </row>
    <row r="609" customFormat="false" ht="15" hidden="false" customHeight="false" outlineLevel="0" collapsed="false">
      <c r="C609" s="2" t="s">
        <v>2022</v>
      </c>
      <c r="D609" s="2" t="s">
        <v>37</v>
      </c>
      <c r="E609" s="2" t="s">
        <v>2023</v>
      </c>
      <c r="F609" s="2" t="s">
        <v>88</v>
      </c>
      <c r="G609" s="2" t="s">
        <v>2024</v>
      </c>
      <c r="H609" s="2" t="s">
        <v>41</v>
      </c>
      <c r="J609" s="2" t="s">
        <v>137</v>
      </c>
      <c r="K609" s="2" t="s">
        <v>2025</v>
      </c>
    </row>
    <row r="610" customFormat="false" ht="15" hidden="false" customHeight="false" outlineLevel="0" collapsed="false">
      <c r="C610" s="2" t="s">
        <v>2026</v>
      </c>
      <c r="D610" s="2" t="s">
        <v>37</v>
      </c>
      <c r="E610" s="2" t="s">
        <v>143</v>
      </c>
      <c r="F610" s="2" t="s">
        <v>432</v>
      </c>
      <c r="G610" s="2" t="s">
        <v>2027</v>
      </c>
      <c r="H610" s="2" t="s">
        <v>41</v>
      </c>
      <c r="I610" s="2" t="s">
        <v>417</v>
      </c>
      <c r="J610" s="2" t="s">
        <v>137</v>
      </c>
      <c r="K610" s="2" t="s">
        <v>2028</v>
      </c>
    </row>
    <row r="611" customFormat="false" ht="15" hidden="false" customHeight="false" outlineLevel="0" collapsed="false">
      <c r="C611" s="2" t="s">
        <v>2029</v>
      </c>
      <c r="D611" s="2" t="s">
        <v>344</v>
      </c>
      <c r="E611" s="2" t="s">
        <v>650</v>
      </c>
      <c r="G611" s="2" t="s">
        <v>2030</v>
      </c>
      <c r="H611" s="2" t="s">
        <v>41</v>
      </c>
      <c r="J611" s="2" t="s">
        <v>443</v>
      </c>
      <c r="K611" s="2" t="s">
        <v>226</v>
      </c>
    </row>
    <row r="612" customFormat="false" ht="15" hidden="false" customHeight="false" outlineLevel="0" collapsed="false">
      <c r="C612" s="2" t="s">
        <v>2031</v>
      </c>
      <c r="D612" s="2" t="s">
        <v>37</v>
      </c>
      <c r="E612" s="2" t="s">
        <v>2032</v>
      </c>
      <c r="G612" s="2" t="s">
        <v>2033</v>
      </c>
      <c r="H612" s="2" t="s">
        <v>41</v>
      </c>
      <c r="I612" s="2" t="s">
        <v>417</v>
      </c>
      <c r="J612" s="2" t="s">
        <v>332</v>
      </c>
      <c r="K612" s="2" t="s">
        <v>2034</v>
      </c>
    </row>
    <row r="613" customFormat="false" ht="15" hidden="false" customHeight="false" outlineLevel="0" collapsed="false">
      <c r="C613" s="2" t="s">
        <v>2035</v>
      </c>
      <c r="D613" s="2" t="s">
        <v>37</v>
      </c>
      <c r="E613" s="2" t="s">
        <v>660</v>
      </c>
      <c r="F613" s="2" t="s">
        <v>2036</v>
      </c>
      <c r="G613" s="2" t="s">
        <v>2037</v>
      </c>
      <c r="H613" s="2" t="s">
        <v>41</v>
      </c>
      <c r="I613" s="2" t="s">
        <v>442</v>
      </c>
      <c r="J613" s="2" t="s">
        <v>332</v>
      </c>
      <c r="K613" s="2" t="s">
        <v>2038</v>
      </c>
    </row>
    <row r="614" customFormat="false" ht="15" hidden="false" customHeight="false" outlineLevel="0" collapsed="false">
      <c r="C614" s="2" t="s">
        <v>2039</v>
      </c>
      <c r="D614" s="2" t="s">
        <v>344</v>
      </c>
      <c r="E614" s="2" t="s">
        <v>248</v>
      </c>
      <c r="F614" s="2" t="s">
        <v>248</v>
      </c>
      <c r="G614" s="2" t="s">
        <v>2040</v>
      </c>
      <c r="H614" s="2" t="s">
        <v>41</v>
      </c>
      <c r="K614" s="2" t="s">
        <v>226</v>
      </c>
    </row>
    <row r="615" customFormat="false" ht="15" hidden="false" customHeight="false" outlineLevel="0" collapsed="false">
      <c r="A615" s="2" t="s">
        <v>2041</v>
      </c>
    </row>
    <row r="617" customFormat="false" ht="15" hidden="false" customHeight="false" outlineLevel="0" collapsed="false">
      <c r="A617" s="2" t="s">
        <v>17</v>
      </c>
      <c r="G617" s="2" t="s">
        <v>261</v>
      </c>
    </row>
    <row r="618" customFormat="false" ht="15" hidden="false" customHeight="false" outlineLevel="0" collapsed="false">
      <c r="A618" s="2" t="s">
        <v>22</v>
      </c>
      <c r="B618" s="2" t="s">
        <v>23</v>
      </c>
      <c r="C618" s="2" t="s">
        <v>24</v>
      </c>
      <c r="D618" s="2" t="s">
        <v>25</v>
      </c>
      <c r="E618" s="2" t="s">
        <v>26</v>
      </c>
      <c r="F618" s="2" t="s">
        <v>27</v>
      </c>
      <c r="G618" s="2" t="s">
        <v>28</v>
      </c>
      <c r="H618" s="2" t="s">
        <v>29</v>
      </c>
      <c r="I618" s="2" t="s">
        <v>30</v>
      </c>
      <c r="J618" s="2" t="s">
        <v>31</v>
      </c>
      <c r="K618" s="2" t="s">
        <v>32</v>
      </c>
      <c r="L618" s="2" t="s">
        <v>33</v>
      </c>
    </row>
    <row r="619" customFormat="false" ht="15" hidden="false" customHeight="false" outlineLevel="0" collapsed="false">
      <c r="C619" s="2" t="s">
        <v>2039</v>
      </c>
      <c r="D619" s="2" t="s">
        <v>344</v>
      </c>
      <c r="E619" s="2" t="s">
        <v>248</v>
      </c>
      <c r="F619" s="2" t="s">
        <v>248</v>
      </c>
      <c r="G619" s="2" t="s">
        <v>2040</v>
      </c>
      <c r="H619" s="2" t="s">
        <v>41</v>
      </c>
      <c r="K619" s="2" t="s">
        <v>226</v>
      </c>
    </row>
    <row r="620" customFormat="false" ht="15" hidden="false" customHeight="false" outlineLevel="0" collapsed="false">
      <c r="A620" s="2" t="s">
        <v>2042</v>
      </c>
      <c r="C620" s="2" t="s">
        <v>2043</v>
      </c>
      <c r="D620" s="2" t="s">
        <v>37</v>
      </c>
      <c r="E620" s="2" t="s">
        <v>206</v>
      </c>
      <c r="F620" s="2" t="s">
        <v>602</v>
      </c>
      <c r="G620" s="2" t="s">
        <v>2044</v>
      </c>
      <c r="H620" s="2" t="s">
        <v>41</v>
      </c>
      <c r="I620" s="2" t="s">
        <v>442</v>
      </c>
      <c r="J620" s="2" t="s">
        <v>332</v>
      </c>
      <c r="K620" s="2" t="s">
        <v>2045</v>
      </c>
    </row>
    <row r="621" customFormat="false" ht="15" hidden="false" customHeight="false" outlineLevel="0" collapsed="false">
      <c r="C621" s="2" t="s">
        <v>124</v>
      </c>
      <c r="G621" s="2" t="s">
        <v>2046</v>
      </c>
      <c r="H621" s="2" t="s">
        <v>41</v>
      </c>
    </row>
    <row r="623" customFormat="false" ht="15" hidden="false" customHeight="false" outlineLevel="0" collapsed="false">
      <c r="A623" s="2" t="s">
        <v>2047</v>
      </c>
      <c r="B623" s="2" t="s">
        <v>2048</v>
      </c>
      <c r="C623" s="2" t="s">
        <v>2049</v>
      </c>
      <c r="D623" s="2" t="s">
        <v>37</v>
      </c>
      <c r="E623" s="2" t="s">
        <v>2050</v>
      </c>
      <c r="F623" s="2" t="s">
        <v>2051</v>
      </c>
      <c r="G623" s="2" t="s">
        <v>2052</v>
      </c>
      <c r="H623" s="2" t="s">
        <v>41</v>
      </c>
      <c r="I623" s="2" t="s">
        <v>168</v>
      </c>
      <c r="K623" s="2" t="s">
        <v>2053</v>
      </c>
      <c r="L623" s="2" t="s">
        <v>396</v>
      </c>
    </row>
    <row r="624" customFormat="false" ht="15" hidden="false" customHeight="false" outlineLevel="0" collapsed="false">
      <c r="C624" s="2" t="s">
        <v>2054</v>
      </c>
      <c r="D624" s="2" t="s">
        <v>46</v>
      </c>
      <c r="E624" s="2" t="s">
        <v>2055</v>
      </c>
      <c r="F624" s="2" t="s">
        <v>2055</v>
      </c>
      <c r="G624" s="2" t="s">
        <v>2056</v>
      </c>
      <c r="H624" s="2" t="s">
        <v>41</v>
      </c>
      <c r="I624" s="2" t="s">
        <v>225</v>
      </c>
      <c r="J624" s="2" t="s">
        <v>137</v>
      </c>
    </row>
    <row r="625" customFormat="false" ht="15" hidden="false" customHeight="false" outlineLevel="0" collapsed="false">
      <c r="C625" s="2" t="s">
        <v>2057</v>
      </c>
      <c r="D625" s="2" t="s">
        <v>37</v>
      </c>
      <c r="E625" s="2" t="s">
        <v>2058</v>
      </c>
      <c r="F625" s="2" t="s">
        <v>807</v>
      </c>
      <c r="G625" s="2" t="s">
        <v>2059</v>
      </c>
      <c r="H625" s="2" t="s">
        <v>41</v>
      </c>
      <c r="I625" s="2" t="s">
        <v>245</v>
      </c>
      <c r="J625" s="2" t="s">
        <v>132</v>
      </c>
      <c r="K625" s="2" t="s">
        <v>2060</v>
      </c>
    </row>
    <row r="626" customFormat="false" ht="15" hidden="false" customHeight="false" outlineLevel="0" collapsed="false">
      <c r="C626" s="2" t="s">
        <v>2061</v>
      </c>
      <c r="D626" s="2" t="s">
        <v>917</v>
      </c>
      <c r="E626" s="2" t="s">
        <v>2062</v>
      </c>
      <c r="F626" s="2" t="s">
        <v>2062</v>
      </c>
      <c r="G626" s="2" t="s">
        <v>2063</v>
      </c>
      <c r="H626" s="2" t="s">
        <v>41</v>
      </c>
      <c r="J626" s="2" t="s">
        <v>321</v>
      </c>
      <c r="K626" s="2" t="s">
        <v>2064</v>
      </c>
    </row>
    <row r="627" customFormat="false" ht="15" hidden="false" customHeight="false" outlineLevel="0" collapsed="false">
      <c r="C627" s="2" t="s">
        <v>2065</v>
      </c>
      <c r="D627" s="2" t="s">
        <v>37</v>
      </c>
      <c r="E627" s="2" t="s">
        <v>541</v>
      </c>
      <c r="F627" s="2" t="s">
        <v>542</v>
      </c>
      <c r="G627" s="2" t="s">
        <v>2066</v>
      </c>
      <c r="H627" s="2" t="s">
        <v>41</v>
      </c>
      <c r="I627" s="2" t="s">
        <v>245</v>
      </c>
      <c r="J627" s="2" t="s">
        <v>137</v>
      </c>
      <c r="K627" s="2" t="s">
        <v>2067</v>
      </c>
    </row>
    <row r="628" customFormat="false" ht="15" hidden="false" customHeight="false" outlineLevel="0" collapsed="false">
      <c r="C628" s="2" t="s">
        <v>2068</v>
      </c>
      <c r="D628" s="2" t="s">
        <v>171</v>
      </c>
      <c r="E628" s="2" t="s">
        <v>2069</v>
      </c>
      <c r="F628" s="2" t="s">
        <v>352</v>
      </c>
      <c r="G628" s="2" t="s">
        <v>2070</v>
      </c>
      <c r="H628" s="2" t="s">
        <v>41</v>
      </c>
      <c r="I628" s="2" t="s">
        <v>213</v>
      </c>
      <c r="J628" s="2" t="s">
        <v>137</v>
      </c>
      <c r="K628" s="2" t="s">
        <v>2071</v>
      </c>
    </row>
    <row r="629" customFormat="false" ht="15" hidden="false" customHeight="false" outlineLevel="0" collapsed="false">
      <c r="C629" s="2" t="s">
        <v>2072</v>
      </c>
      <c r="D629" s="2" t="s">
        <v>37</v>
      </c>
      <c r="E629" s="2" t="s">
        <v>1135</v>
      </c>
      <c r="F629" s="2" t="s">
        <v>115</v>
      </c>
      <c r="G629" s="2" t="s">
        <v>2073</v>
      </c>
      <c r="H629" s="2" t="s">
        <v>41</v>
      </c>
      <c r="I629" s="2" t="s">
        <v>161</v>
      </c>
      <c r="J629" s="2" t="s">
        <v>137</v>
      </c>
      <c r="K629" s="2" t="s">
        <v>2074</v>
      </c>
    </row>
    <row r="630" customFormat="false" ht="15" hidden="false" customHeight="false" outlineLevel="0" collapsed="false">
      <c r="C630" s="2" t="s">
        <v>2075</v>
      </c>
      <c r="D630" s="2" t="s">
        <v>344</v>
      </c>
      <c r="E630" s="2" t="s">
        <v>233</v>
      </c>
      <c r="F630" s="2" t="s">
        <v>233</v>
      </c>
      <c r="G630" s="2" t="s">
        <v>2076</v>
      </c>
      <c r="H630" s="2" t="s">
        <v>41</v>
      </c>
      <c r="I630" s="2" t="s">
        <v>225</v>
      </c>
      <c r="J630" s="2" t="s">
        <v>137</v>
      </c>
      <c r="K630" s="2" t="s">
        <v>226</v>
      </c>
    </row>
    <row r="631" customFormat="false" ht="15" hidden="false" customHeight="false" outlineLevel="0" collapsed="false">
      <c r="C631" s="2" t="s">
        <v>2077</v>
      </c>
      <c r="D631" s="2" t="s">
        <v>274</v>
      </c>
      <c r="E631" s="2" t="s">
        <v>2078</v>
      </c>
      <c r="F631" s="2" t="s">
        <v>2079</v>
      </c>
      <c r="G631" s="2" t="s">
        <v>2080</v>
      </c>
      <c r="H631" s="2" t="s">
        <v>41</v>
      </c>
      <c r="I631" s="2" t="s">
        <v>161</v>
      </c>
      <c r="J631" s="2" t="s">
        <v>132</v>
      </c>
      <c r="K631" s="2" t="s">
        <v>2081</v>
      </c>
    </row>
    <row r="632" customFormat="false" ht="15" hidden="false" customHeight="false" outlineLevel="0" collapsed="false">
      <c r="C632" s="2" t="s">
        <v>2082</v>
      </c>
      <c r="D632" s="2" t="s">
        <v>37</v>
      </c>
      <c r="E632" s="2" t="s">
        <v>242</v>
      </c>
      <c r="F632" s="2" t="s">
        <v>243</v>
      </c>
      <c r="G632" s="2" t="s">
        <v>2083</v>
      </c>
      <c r="H632" s="2" t="s">
        <v>236</v>
      </c>
      <c r="I632" s="2" t="s">
        <v>175</v>
      </c>
    </row>
    <row r="633" customFormat="false" ht="15" hidden="false" customHeight="false" outlineLevel="0" collapsed="false">
      <c r="C633" s="2" t="s">
        <v>124</v>
      </c>
      <c r="G633" s="2" t="s">
        <v>2084</v>
      </c>
      <c r="H633" s="2" t="s">
        <v>41</v>
      </c>
    </row>
    <row r="635" customFormat="false" ht="15" hidden="false" customHeight="false" outlineLevel="0" collapsed="false">
      <c r="A635" s="2" t="s">
        <v>2085</v>
      </c>
      <c r="B635" s="2" t="s">
        <v>2086</v>
      </c>
      <c r="C635" s="2" t="s">
        <v>2087</v>
      </c>
      <c r="D635" s="2" t="s">
        <v>222</v>
      </c>
      <c r="E635" s="2" t="s">
        <v>2088</v>
      </c>
      <c r="F635" s="2" t="s">
        <v>2088</v>
      </c>
      <c r="G635" s="2" t="s">
        <v>2089</v>
      </c>
      <c r="H635" s="2" t="s">
        <v>54</v>
      </c>
      <c r="J635" s="2" t="s">
        <v>1596</v>
      </c>
      <c r="K635" s="2" t="s">
        <v>226</v>
      </c>
    </row>
    <row r="636" customFormat="false" ht="15" hidden="false" customHeight="false" outlineLevel="0" collapsed="false">
      <c r="C636" s="2" t="s">
        <v>2090</v>
      </c>
      <c r="D636" s="2" t="s">
        <v>37</v>
      </c>
      <c r="E636" s="2" t="s">
        <v>2091</v>
      </c>
      <c r="F636" s="2" t="s">
        <v>2092</v>
      </c>
      <c r="G636" s="2" t="s">
        <v>2093</v>
      </c>
      <c r="H636" s="2" t="s">
        <v>236</v>
      </c>
      <c r="I636" s="2" t="s">
        <v>96</v>
      </c>
      <c r="J636" s="2" t="s">
        <v>1596</v>
      </c>
      <c r="K636" s="2" t="s">
        <v>2094</v>
      </c>
    </row>
    <row r="637" customFormat="false" ht="15" hidden="false" customHeight="false" outlineLevel="0" collapsed="false">
      <c r="C637" s="2" t="s">
        <v>2095</v>
      </c>
      <c r="D637" s="2" t="s">
        <v>329</v>
      </c>
      <c r="E637" s="2" t="s">
        <v>1004</v>
      </c>
      <c r="F637" s="2" t="s">
        <v>1004</v>
      </c>
      <c r="G637" s="2" t="s">
        <v>2096</v>
      </c>
      <c r="H637" s="2" t="s">
        <v>41</v>
      </c>
      <c r="J637" s="2" t="s">
        <v>728</v>
      </c>
      <c r="K637" s="2" t="s">
        <v>2097</v>
      </c>
    </row>
    <row r="638" customFormat="false" ht="15" hidden="false" customHeight="false" outlineLevel="0" collapsed="false">
      <c r="C638" s="2" t="s">
        <v>2098</v>
      </c>
      <c r="D638" s="2" t="s">
        <v>274</v>
      </c>
      <c r="E638" s="2" t="s">
        <v>2099</v>
      </c>
      <c r="F638" s="2" t="s">
        <v>2100</v>
      </c>
      <c r="G638" s="2" t="s">
        <v>2101</v>
      </c>
      <c r="H638" s="2" t="s">
        <v>41</v>
      </c>
      <c r="I638" s="2" t="s">
        <v>42</v>
      </c>
      <c r="J638" s="2" t="s">
        <v>748</v>
      </c>
      <c r="K638" s="2" t="s">
        <v>147</v>
      </c>
      <c r="L638" s="2" t="s">
        <v>1202</v>
      </c>
    </row>
    <row r="639" customFormat="false" ht="15" hidden="false" customHeight="false" outlineLevel="0" collapsed="false">
      <c r="C639" s="2" t="s">
        <v>2102</v>
      </c>
      <c r="D639" s="2" t="s">
        <v>37</v>
      </c>
      <c r="E639" s="2" t="s">
        <v>1256</v>
      </c>
      <c r="F639" s="2" t="s">
        <v>130</v>
      </c>
      <c r="G639" s="2" t="s">
        <v>2103</v>
      </c>
      <c r="H639" s="2" t="s">
        <v>41</v>
      </c>
      <c r="I639" s="2" t="s">
        <v>96</v>
      </c>
      <c r="J639" s="2" t="s">
        <v>748</v>
      </c>
      <c r="K639" s="2" t="s">
        <v>817</v>
      </c>
    </row>
    <row r="640" customFormat="false" ht="15" hidden="false" customHeight="false" outlineLevel="0" collapsed="false">
      <c r="C640" s="2" t="s">
        <v>2104</v>
      </c>
      <c r="D640" s="2" t="s">
        <v>281</v>
      </c>
      <c r="E640" s="2" t="s">
        <v>334</v>
      </c>
      <c r="F640" s="2" t="s">
        <v>2105</v>
      </c>
      <c r="G640" s="2" t="s">
        <v>2106</v>
      </c>
      <c r="H640" s="2" t="s">
        <v>41</v>
      </c>
      <c r="I640" s="2" t="s">
        <v>42</v>
      </c>
      <c r="J640" s="2" t="s">
        <v>193</v>
      </c>
    </row>
    <row r="641" customFormat="false" ht="15" hidden="false" customHeight="false" outlineLevel="0" collapsed="false">
      <c r="C641" s="2" t="s">
        <v>2107</v>
      </c>
      <c r="D641" s="2" t="s">
        <v>37</v>
      </c>
      <c r="E641" s="2" t="s">
        <v>582</v>
      </c>
      <c r="G641" s="2" t="s">
        <v>2108</v>
      </c>
      <c r="H641" s="2" t="s">
        <v>41</v>
      </c>
      <c r="I641" s="2" t="s">
        <v>67</v>
      </c>
      <c r="K641" s="2" t="s">
        <v>2109</v>
      </c>
    </row>
    <row r="642" customFormat="false" ht="15" hidden="false" customHeight="false" outlineLevel="0" collapsed="false">
      <c r="C642" s="2" t="s">
        <v>2110</v>
      </c>
      <c r="D642" s="2" t="s">
        <v>37</v>
      </c>
      <c r="E642" s="2" t="s">
        <v>1846</v>
      </c>
      <c r="F642" s="2" t="s">
        <v>2111</v>
      </c>
      <c r="G642" s="2" t="s">
        <v>2112</v>
      </c>
      <c r="H642" s="2" t="s">
        <v>41</v>
      </c>
      <c r="I642" s="2" t="s">
        <v>336</v>
      </c>
      <c r="J642" s="2" t="s">
        <v>728</v>
      </c>
      <c r="K642" s="2" t="s">
        <v>2113</v>
      </c>
    </row>
    <row r="643" customFormat="false" ht="15" hidden="false" customHeight="false" outlineLevel="0" collapsed="false">
      <c r="C643" s="2" t="s">
        <v>2114</v>
      </c>
      <c r="D643" s="2" t="s">
        <v>37</v>
      </c>
      <c r="E643" s="2" t="s">
        <v>386</v>
      </c>
      <c r="F643" s="2" t="s">
        <v>243</v>
      </c>
      <c r="G643" s="2" t="s">
        <v>2115</v>
      </c>
      <c r="H643" s="2" t="s">
        <v>41</v>
      </c>
      <c r="I643" s="2" t="s">
        <v>219</v>
      </c>
      <c r="J643" s="2" t="s">
        <v>748</v>
      </c>
      <c r="K643" s="2" t="s">
        <v>2116</v>
      </c>
    </row>
    <row r="644" customFormat="false" ht="15" hidden="false" customHeight="false" outlineLevel="0" collapsed="false">
      <c r="C644" s="2" t="s">
        <v>2117</v>
      </c>
      <c r="D644" s="2" t="s">
        <v>222</v>
      </c>
      <c r="E644" s="2" t="s">
        <v>2118</v>
      </c>
      <c r="F644" s="2" t="s">
        <v>2118</v>
      </c>
      <c r="G644" s="2" t="s">
        <v>2119</v>
      </c>
      <c r="H644" s="2" t="s">
        <v>41</v>
      </c>
      <c r="I644" s="2" t="s">
        <v>225</v>
      </c>
      <c r="J644" s="2" t="s">
        <v>193</v>
      </c>
      <c r="K644" s="2" t="s">
        <v>1640</v>
      </c>
    </row>
    <row r="645" customFormat="false" ht="15" hidden="false" customHeight="false" outlineLevel="0" collapsed="false">
      <c r="C645" s="2" t="s">
        <v>2120</v>
      </c>
      <c r="D645" s="2" t="s">
        <v>37</v>
      </c>
      <c r="E645" s="2" t="s">
        <v>559</v>
      </c>
      <c r="F645" s="2" t="s">
        <v>555</v>
      </c>
      <c r="G645" s="2" t="s">
        <v>2121</v>
      </c>
      <c r="H645" s="2" t="s">
        <v>41</v>
      </c>
      <c r="I645" s="2" t="s">
        <v>122</v>
      </c>
      <c r="J645" s="2" t="s">
        <v>728</v>
      </c>
      <c r="K645" s="2" t="s">
        <v>2122</v>
      </c>
    </row>
    <row r="646" customFormat="false" ht="15" hidden="false" customHeight="false" outlineLevel="0" collapsed="false">
      <c r="C646" s="2" t="s">
        <v>124</v>
      </c>
      <c r="G646" s="2" t="s">
        <v>2123</v>
      </c>
      <c r="H646" s="2" t="s">
        <v>41</v>
      </c>
    </row>
    <row r="648" customFormat="false" ht="15" hidden="false" customHeight="false" outlineLevel="0" collapsed="false">
      <c r="A648" s="2" t="s">
        <v>2124</v>
      </c>
      <c r="B648" s="2" t="s">
        <v>2125</v>
      </c>
      <c r="C648" s="2" t="s">
        <v>2126</v>
      </c>
      <c r="D648" s="2" t="s">
        <v>37</v>
      </c>
      <c r="E648" s="2" t="s">
        <v>2127</v>
      </c>
      <c r="F648" s="2" t="s">
        <v>2128</v>
      </c>
      <c r="G648" s="2" t="s">
        <v>2129</v>
      </c>
      <c r="H648" s="2" t="s">
        <v>236</v>
      </c>
      <c r="I648" s="2" t="s">
        <v>865</v>
      </c>
      <c r="J648" s="2" t="s">
        <v>940</v>
      </c>
      <c r="K648" s="2" t="s">
        <v>2130</v>
      </c>
    </row>
    <row r="649" customFormat="false" ht="15" hidden="false" customHeight="false" outlineLevel="0" collapsed="false">
      <c r="C649" s="2" t="s">
        <v>2131</v>
      </c>
      <c r="D649" s="2" t="s">
        <v>37</v>
      </c>
      <c r="E649" s="2" t="s">
        <v>2132</v>
      </c>
      <c r="F649" s="2" t="s">
        <v>716</v>
      </c>
      <c r="G649" s="2" t="s">
        <v>2133</v>
      </c>
      <c r="H649" s="2" t="s">
        <v>41</v>
      </c>
      <c r="I649" s="2" t="s">
        <v>161</v>
      </c>
      <c r="J649" s="2" t="s">
        <v>502</v>
      </c>
      <c r="K649" s="2" t="s">
        <v>2134</v>
      </c>
    </row>
    <row r="650" customFormat="false" ht="15" hidden="false" customHeight="false" outlineLevel="0" collapsed="false">
      <c r="C650" s="2" t="s">
        <v>2135</v>
      </c>
      <c r="D650" s="2" t="s">
        <v>37</v>
      </c>
      <c r="E650" s="2" t="s">
        <v>1220</v>
      </c>
      <c r="F650" s="2" t="s">
        <v>1374</v>
      </c>
      <c r="G650" s="2" t="s">
        <v>2136</v>
      </c>
      <c r="H650" s="2" t="s">
        <v>61</v>
      </c>
      <c r="I650" s="2" t="s">
        <v>219</v>
      </c>
      <c r="J650" s="2" t="s">
        <v>502</v>
      </c>
      <c r="K650" s="2" t="s">
        <v>847</v>
      </c>
    </row>
    <row r="651" customFormat="false" ht="15" hidden="false" customHeight="false" outlineLevel="0" collapsed="false">
      <c r="C651" s="2" t="s">
        <v>2137</v>
      </c>
      <c r="D651" s="2" t="s">
        <v>37</v>
      </c>
      <c r="E651" s="2" t="s">
        <v>2050</v>
      </c>
      <c r="F651" s="2" t="s">
        <v>504</v>
      </c>
      <c r="G651" s="2" t="s">
        <v>2138</v>
      </c>
      <c r="H651" s="2" t="s">
        <v>41</v>
      </c>
      <c r="I651" s="2" t="s">
        <v>865</v>
      </c>
      <c r="J651" s="2" t="s">
        <v>502</v>
      </c>
      <c r="K651" s="2" t="s">
        <v>2139</v>
      </c>
    </row>
    <row r="652" customFormat="false" ht="15" hidden="false" customHeight="false" outlineLevel="0" collapsed="false">
      <c r="C652" s="2" t="s">
        <v>2140</v>
      </c>
      <c r="D652" s="2" t="s">
        <v>37</v>
      </c>
      <c r="E652" s="2" t="s">
        <v>1764</v>
      </c>
      <c r="F652" s="2" t="s">
        <v>469</v>
      </c>
      <c r="G652" s="2" t="s">
        <v>2141</v>
      </c>
      <c r="H652" s="2" t="s">
        <v>41</v>
      </c>
      <c r="I652" s="2" t="s">
        <v>219</v>
      </c>
      <c r="J652" s="2" t="s">
        <v>902</v>
      </c>
      <c r="K652" s="2" t="s">
        <v>2142</v>
      </c>
    </row>
    <row r="653" customFormat="false" ht="15" hidden="false" customHeight="false" outlineLevel="0" collapsed="false">
      <c r="C653" s="2" t="s">
        <v>2143</v>
      </c>
      <c r="D653" s="2" t="s">
        <v>37</v>
      </c>
      <c r="E653" s="2" t="s">
        <v>2144</v>
      </c>
      <c r="F653" s="2" t="s">
        <v>2145</v>
      </c>
      <c r="G653" s="2" t="s">
        <v>2146</v>
      </c>
      <c r="H653" s="2" t="s">
        <v>41</v>
      </c>
      <c r="I653" s="2" t="s">
        <v>417</v>
      </c>
      <c r="J653" s="2" t="s">
        <v>502</v>
      </c>
      <c r="K653" s="2" t="s">
        <v>2147</v>
      </c>
    </row>
    <row r="654" customFormat="false" ht="15" hidden="false" customHeight="false" outlineLevel="0" collapsed="false">
      <c r="C654" s="2" t="s">
        <v>2148</v>
      </c>
      <c r="D654" s="2" t="s">
        <v>37</v>
      </c>
      <c r="E654" s="2" t="s">
        <v>1328</v>
      </c>
      <c r="F654" s="2" t="s">
        <v>248</v>
      </c>
      <c r="G654" s="2" t="s">
        <v>2149</v>
      </c>
      <c r="H654" s="2" t="s">
        <v>41</v>
      </c>
      <c r="I654" s="2" t="s">
        <v>219</v>
      </c>
      <c r="J654" s="2" t="s">
        <v>940</v>
      </c>
      <c r="K654" s="2" t="s">
        <v>2150</v>
      </c>
    </row>
    <row r="655" customFormat="false" ht="15" hidden="false" customHeight="false" outlineLevel="0" collapsed="false">
      <c r="C655" s="2" t="s">
        <v>2151</v>
      </c>
      <c r="D655" s="2" t="s">
        <v>281</v>
      </c>
      <c r="E655" s="2" t="s">
        <v>1328</v>
      </c>
      <c r="F655" s="2" t="s">
        <v>248</v>
      </c>
      <c r="G655" s="2" t="s">
        <v>2149</v>
      </c>
      <c r="H655" s="2" t="s">
        <v>41</v>
      </c>
      <c r="I655" s="2" t="s">
        <v>219</v>
      </c>
      <c r="J655" s="2" t="s">
        <v>940</v>
      </c>
      <c r="K655" s="2" t="s">
        <v>2150</v>
      </c>
    </row>
    <row r="656" customFormat="false" ht="15" hidden="false" customHeight="false" outlineLevel="0" collapsed="false">
      <c r="C656" s="2" t="s">
        <v>2152</v>
      </c>
      <c r="D656" s="2" t="s">
        <v>37</v>
      </c>
      <c r="E656" s="2" t="s">
        <v>1113</v>
      </c>
      <c r="F656" s="2" t="s">
        <v>1038</v>
      </c>
      <c r="G656" s="2" t="s">
        <v>2153</v>
      </c>
      <c r="H656" s="2" t="s">
        <v>41</v>
      </c>
      <c r="I656" s="2" t="s">
        <v>42</v>
      </c>
      <c r="J656" s="2" t="s">
        <v>694</v>
      </c>
      <c r="K656" s="2" t="s">
        <v>2154</v>
      </c>
    </row>
    <row r="657" customFormat="false" ht="15" hidden="false" customHeight="false" outlineLevel="0" collapsed="false">
      <c r="C657" s="2" t="s">
        <v>2155</v>
      </c>
      <c r="D657" s="2" t="s">
        <v>37</v>
      </c>
      <c r="E657" s="2" t="s">
        <v>551</v>
      </c>
      <c r="F657" s="2" t="s">
        <v>299</v>
      </c>
      <c r="G657" s="2" t="s">
        <v>2156</v>
      </c>
      <c r="H657" s="2" t="s">
        <v>41</v>
      </c>
      <c r="I657" s="2" t="s">
        <v>219</v>
      </c>
      <c r="J657" s="2" t="s">
        <v>580</v>
      </c>
      <c r="K657" s="2" t="s">
        <v>2157</v>
      </c>
      <c r="L657" s="2" t="s">
        <v>462</v>
      </c>
    </row>
    <row r="658" customFormat="false" ht="15" hidden="false" customHeight="false" outlineLevel="0" collapsed="false">
      <c r="C658" s="2" t="s">
        <v>124</v>
      </c>
      <c r="G658" s="2" t="s">
        <v>2158</v>
      </c>
      <c r="H658" s="2" t="s">
        <v>41</v>
      </c>
    </row>
    <row r="659" customFormat="false" ht="15" hidden="false" customHeight="false" outlineLevel="0" collapsed="false">
      <c r="A659" s="2" t="s">
        <v>2159</v>
      </c>
      <c r="B659" s="2" t="s">
        <v>2160</v>
      </c>
      <c r="C659" s="2" t="s">
        <v>2161</v>
      </c>
      <c r="D659" s="2" t="s">
        <v>37</v>
      </c>
      <c r="E659" s="2" t="s">
        <v>2162</v>
      </c>
      <c r="F659" s="2" t="s">
        <v>2163</v>
      </c>
      <c r="G659" s="2" t="s">
        <v>2164</v>
      </c>
      <c r="H659" s="2" t="s">
        <v>41</v>
      </c>
      <c r="J659" s="2" t="s">
        <v>193</v>
      </c>
      <c r="K659" s="2" t="s">
        <v>147</v>
      </c>
    </row>
    <row r="660" customFormat="false" ht="15" hidden="false" customHeight="false" outlineLevel="0" collapsed="false">
      <c r="C660" s="2" t="s">
        <v>2165</v>
      </c>
      <c r="D660" s="2" t="s">
        <v>37</v>
      </c>
      <c r="E660" s="2" t="s">
        <v>1038</v>
      </c>
      <c r="F660" s="2" t="s">
        <v>1039</v>
      </c>
      <c r="G660" s="2" t="s">
        <v>2166</v>
      </c>
      <c r="H660" s="2" t="s">
        <v>41</v>
      </c>
      <c r="I660" s="2" t="s">
        <v>42</v>
      </c>
      <c r="J660" s="2" t="s">
        <v>728</v>
      </c>
      <c r="K660" s="2" t="s">
        <v>2167</v>
      </c>
    </row>
    <row r="661" customFormat="false" ht="15" hidden="false" customHeight="false" outlineLevel="0" collapsed="false">
      <c r="C661" s="2" t="s">
        <v>2168</v>
      </c>
      <c r="D661" s="2" t="s">
        <v>46</v>
      </c>
      <c r="E661" s="2" t="s">
        <v>1331</v>
      </c>
      <c r="F661" s="2" t="s">
        <v>1331</v>
      </c>
      <c r="G661" s="2" t="s">
        <v>2169</v>
      </c>
      <c r="H661" s="2" t="s">
        <v>41</v>
      </c>
      <c r="J661" s="2" t="s">
        <v>728</v>
      </c>
    </row>
    <row r="662" customFormat="false" ht="15" hidden="false" customHeight="false" outlineLevel="0" collapsed="false">
      <c r="C662" s="2" t="s">
        <v>124</v>
      </c>
      <c r="G662" s="2" t="s">
        <v>2170</v>
      </c>
      <c r="H662" s="2" t="s">
        <v>41</v>
      </c>
    </row>
    <row r="665" customFormat="false" ht="15" hidden="false" customHeight="false" outlineLevel="0" collapsed="false">
      <c r="C665" s="2" t="s">
        <v>2171</v>
      </c>
      <c r="G665" s="2" t="s">
        <v>2172</v>
      </c>
      <c r="H665" s="2" t="s">
        <v>41</v>
      </c>
    </row>
    <row r="666" customFormat="false" ht="15" hidden="false" customHeight="false" outlineLevel="0" collapsed="false">
      <c r="C666" s="2" t="s">
        <v>2173</v>
      </c>
      <c r="G666" s="2" t="s">
        <v>2174</v>
      </c>
      <c r="H666" s="2" t="s">
        <v>1818</v>
      </c>
    </row>
    <row r="667" customFormat="false" ht="15" hidden="false" customHeight="false" outlineLevel="0" collapsed="false">
      <c r="C667" s="2" t="s">
        <v>2175</v>
      </c>
      <c r="G667" s="2" t="s">
        <v>435</v>
      </c>
      <c r="H667" s="2" t="s">
        <v>416</v>
      </c>
    </row>
    <row r="669" customFormat="false" ht="15" hidden="false" customHeight="false" outlineLevel="0" collapsed="false">
      <c r="A669" s="2" t="s">
        <v>2176</v>
      </c>
    </row>
    <row r="670" customFormat="false" ht="15" hidden="false" customHeight="false" outlineLevel="0" collapsed="false">
      <c r="A670" s="2" t="s">
        <v>2177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6" min="6" style="0" width="19"/>
    <col collapsed="false" customWidth="true" hidden="false" outlineLevel="0" max="8" min="7" style="0" width="12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30"/>
    <col collapsed="false" customWidth="true" hidden="false" outlineLevel="0" max="15" min="15" style="0" width="10"/>
    <col collapsed="false" customWidth="true" hidden="false" outlineLevel="0" max="17" min="16" style="0" width="11"/>
    <col collapsed="false" customWidth="true" hidden="false" outlineLevel="0" max="18" min="18" style="0" width="44"/>
  </cols>
  <sheetData>
    <row r="1" customFormat="false" ht="15" hidden="false" customHeight="false" outlineLevel="0" collapsed="false">
      <c r="A1" s="4" t="s">
        <v>2178</v>
      </c>
      <c r="B1" s="4" t="s">
        <v>2179</v>
      </c>
      <c r="C1" s="4" t="s">
        <v>2180</v>
      </c>
      <c r="D1" s="4" t="s">
        <v>2181</v>
      </c>
      <c r="E1" s="4" t="s">
        <v>2182</v>
      </c>
      <c r="F1" s="4" t="s">
        <v>2183</v>
      </c>
      <c r="G1" s="4" t="s">
        <v>2184</v>
      </c>
      <c r="H1" s="4" t="s">
        <v>2185</v>
      </c>
      <c r="I1" s="4" t="s">
        <v>2186</v>
      </c>
      <c r="J1" s="4" t="s">
        <v>2187</v>
      </c>
      <c r="K1" s="4" t="s">
        <v>28</v>
      </c>
      <c r="L1" s="4" t="s">
        <v>2188</v>
      </c>
      <c r="M1" s="4" t="s">
        <v>2189</v>
      </c>
      <c r="N1" s="4" t="s">
        <v>33</v>
      </c>
      <c r="O1" s="4" t="s">
        <v>2190</v>
      </c>
      <c r="P1" s="4" t="s">
        <v>2191</v>
      </c>
      <c r="Q1" s="4" t="s">
        <v>2192</v>
      </c>
      <c r="R1" s="4" t="s">
        <v>2193</v>
      </c>
    </row>
    <row r="2" customFormat="false" ht="15" hidden="false" customHeight="false" outlineLevel="0" collapsed="false">
      <c r="A2" s="2" t="s">
        <v>2194</v>
      </c>
      <c r="B2" s="2" t="s">
        <v>35</v>
      </c>
      <c r="C2" s="2" t="s">
        <v>2195</v>
      </c>
      <c r="D2" s="2" t="s">
        <v>2196</v>
      </c>
      <c r="E2" s="2" t="s">
        <v>36</v>
      </c>
      <c r="F2" s="2" t="s">
        <v>2197</v>
      </c>
      <c r="G2" s="5" t="n">
        <v>46000</v>
      </c>
      <c r="H2" s="5" t="n">
        <v>46030</v>
      </c>
      <c r="I2" s="2" t="n">
        <v>30</v>
      </c>
      <c r="J2" s="2" t="s">
        <v>41</v>
      </c>
      <c r="K2" s="6" t="n">
        <v>96594.74</v>
      </c>
      <c r="L2" s="2" t="s">
        <v>43</v>
      </c>
      <c r="M2" s="2" t="s">
        <v>44</v>
      </c>
      <c r="N2" s="2"/>
      <c r="O2" s="7" t="b">
        <f aca="false">FALSE()</f>
        <v>0</v>
      </c>
      <c r="P2" s="2" t="n">
        <v>265</v>
      </c>
      <c r="Q2" s="2" t="s">
        <v>2198</v>
      </c>
      <c r="R2" s="2"/>
    </row>
    <row r="3" customFormat="false" ht="15" hidden="false" customHeight="false" outlineLevel="0" collapsed="false">
      <c r="A3" s="2" t="s">
        <v>2194</v>
      </c>
      <c r="B3" s="2" t="s">
        <v>35</v>
      </c>
      <c r="C3" s="2" t="s">
        <v>2195</v>
      </c>
      <c r="D3" s="2" t="s">
        <v>2196</v>
      </c>
      <c r="E3" s="2" t="s">
        <v>45</v>
      </c>
      <c r="F3" s="2" t="s">
        <v>2199</v>
      </c>
      <c r="G3" s="5" t="n">
        <v>46080</v>
      </c>
      <c r="H3" s="5" t="n">
        <v>46080</v>
      </c>
      <c r="I3" s="2" t="n">
        <v>0</v>
      </c>
      <c r="J3" s="2" t="s">
        <v>41</v>
      </c>
      <c r="K3" s="6" t="n">
        <v>-18185.08</v>
      </c>
      <c r="L3" s="2" t="s">
        <v>43</v>
      </c>
      <c r="M3" s="2"/>
      <c r="N3" s="2"/>
      <c r="O3" s="7" t="b">
        <f aca="false">FALSE()</f>
        <v>0</v>
      </c>
      <c r="P3" s="2" t="n">
        <v>215</v>
      </c>
      <c r="Q3" s="2" t="s">
        <v>2198</v>
      </c>
      <c r="R3" s="2"/>
    </row>
    <row r="4" customFormat="false" ht="15" hidden="false" customHeight="false" outlineLevel="0" collapsed="false">
      <c r="A4" s="2" t="s">
        <v>2194</v>
      </c>
      <c r="B4" s="2" t="s">
        <v>35</v>
      </c>
      <c r="C4" s="2" t="s">
        <v>2195</v>
      </c>
      <c r="D4" s="2" t="s">
        <v>2196</v>
      </c>
      <c r="E4" s="2" t="s">
        <v>50</v>
      </c>
      <c r="F4" s="2" t="s">
        <v>2197</v>
      </c>
      <c r="G4" s="5" t="n">
        <v>46084</v>
      </c>
      <c r="H4" s="5" t="n">
        <v>46114</v>
      </c>
      <c r="I4" s="2" t="n">
        <v>30</v>
      </c>
      <c r="J4" s="2" t="s">
        <v>41</v>
      </c>
      <c r="K4" s="6" t="n">
        <v>44604</v>
      </c>
      <c r="L4" s="2" t="s">
        <v>43</v>
      </c>
      <c r="M4" s="2"/>
      <c r="N4" s="2" t="s">
        <v>57</v>
      </c>
      <c r="O4" s="7" t="b">
        <f aca="false">FALSE()</f>
        <v>0</v>
      </c>
      <c r="P4" s="2" t="n">
        <v>181</v>
      </c>
      <c r="Q4" s="2" t="s">
        <v>2198</v>
      </c>
      <c r="R4" s="2" t="s">
        <v>2200</v>
      </c>
    </row>
    <row r="5" customFormat="false" ht="15" hidden="false" customHeight="false" outlineLevel="0" collapsed="false">
      <c r="A5" s="2" t="s">
        <v>2194</v>
      </c>
      <c r="B5" s="2" t="s">
        <v>35</v>
      </c>
      <c r="C5" s="2" t="s">
        <v>2195</v>
      </c>
      <c r="D5" s="2" t="s">
        <v>2196</v>
      </c>
      <c r="E5" s="2" t="s">
        <v>58</v>
      </c>
      <c r="F5" s="2" t="s">
        <v>2197</v>
      </c>
      <c r="G5" s="5" t="n">
        <v>46110</v>
      </c>
      <c r="H5" s="5" t="n">
        <v>46140</v>
      </c>
      <c r="I5" s="2" t="n">
        <v>30</v>
      </c>
      <c r="J5" s="2" t="s">
        <v>41</v>
      </c>
      <c r="K5" s="6" t="n">
        <v>39270</v>
      </c>
      <c r="L5" s="2" t="s">
        <v>43</v>
      </c>
      <c r="M5" s="2" t="s">
        <v>62</v>
      </c>
      <c r="N5" s="2"/>
      <c r="O5" s="7" t="b">
        <f aca="false">FALSE()</f>
        <v>0</v>
      </c>
      <c r="P5" s="2" t="n">
        <v>155</v>
      </c>
      <c r="Q5" s="2" t="s">
        <v>2201</v>
      </c>
      <c r="R5" s="2" t="s">
        <v>2202</v>
      </c>
    </row>
    <row r="6" customFormat="false" ht="15" hidden="false" customHeight="false" outlineLevel="0" collapsed="false">
      <c r="A6" s="2" t="s">
        <v>2194</v>
      </c>
      <c r="B6" s="2" t="s">
        <v>35</v>
      </c>
      <c r="C6" s="2" t="s">
        <v>2195</v>
      </c>
      <c r="D6" s="2" t="s">
        <v>2196</v>
      </c>
      <c r="E6" s="2" t="s">
        <v>63</v>
      </c>
      <c r="F6" s="2" t="s">
        <v>2197</v>
      </c>
      <c r="G6" s="5" t="n">
        <v>46178</v>
      </c>
      <c r="H6" s="5" t="n">
        <v>46208</v>
      </c>
      <c r="I6" s="2" t="n">
        <v>30</v>
      </c>
      <c r="J6" s="2" t="s">
        <v>41</v>
      </c>
      <c r="K6" s="6" t="n">
        <v>104685</v>
      </c>
      <c r="L6" s="2" t="s">
        <v>43</v>
      </c>
      <c r="M6" s="2" t="s">
        <v>69</v>
      </c>
      <c r="N6" s="2"/>
      <c r="O6" s="7" t="b">
        <f aca="false">FALSE()</f>
        <v>0</v>
      </c>
      <c r="P6" s="2" t="n">
        <v>87</v>
      </c>
      <c r="Q6" s="2" t="s">
        <v>2203</v>
      </c>
      <c r="R6" s="2"/>
    </row>
    <row r="7" customFormat="false" ht="15" hidden="false" customHeight="false" outlineLevel="0" collapsed="false">
      <c r="A7" s="2" t="s">
        <v>2194</v>
      </c>
      <c r="B7" s="2" t="s">
        <v>35</v>
      </c>
      <c r="C7" s="2" t="s">
        <v>2195</v>
      </c>
      <c r="D7" s="2" t="s">
        <v>2196</v>
      </c>
      <c r="E7" s="2" t="s">
        <v>76</v>
      </c>
      <c r="F7" s="2" t="s">
        <v>2197</v>
      </c>
      <c r="G7" s="5" t="n">
        <v>46211</v>
      </c>
      <c r="H7" s="5" t="n">
        <v>46241</v>
      </c>
      <c r="I7" s="2" t="n">
        <v>30</v>
      </c>
      <c r="J7" s="2" t="s">
        <v>41</v>
      </c>
      <c r="K7" s="6" t="n">
        <v>17346</v>
      </c>
      <c r="L7" s="2" t="s">
        <v>2204</v>
      </c>
      <c r="M7" s="2"/>
      <c r="N7" s="2"/>
      <c r="O7" s="7" t="b">
        <f aca="false">FALSE()</f>
        <v>0</v>
      </c>
      <c r="P7" s="2" t="n">
        <v>54</v>
      </c>
      <c r="Q7" s="2" t="s">
        <v>2205</v>
      </c>
      <c r="R7" s="2"/>
    </row>
    <row r="8" customFormat="false" ht="15" hidden="false" customHeight="false" outlineLevel="0" collapsed="false">
      <c r="A8" s="2" t="s">
        <v>2194</v>
      </c>
      <c r="B8" s="2" t="s">
        <v>35</v>
      </c>
      <c r="C8" s="2" t="s">
        <v>2195</v>
      </c>
      <c r="D8" s="2" t="s">
        <v>2196</v>
      </c>
      <c r="E8" s="2" t="s">
        <v>70</v>
      </c>
      <c r="F8" s="2" t="s">
        <v>2197</v>
      </c>
      <c r="G8" s="5" t="n">
        <v>46214</v>
      </c>
      <c r="H8" s="5" t="n">
        <v>46244</v>
      </c>
      <c r="I8" s="2" t="n">
        <v>30</v>
      </c>
      <c r="J8" s="2" t="s">
        <v>41</v>
      </c>
      <c r="K8" s="6" t="n">
        <v>224663.47</v>
      </c>
      <c r="L8" s="2" t="s">
        <v>43</v>
      </c>
      <c r="M8" s="2" t="s">
        <v>75</v>
      </c>
      <c r="N8" s="2"/>
      <c r="O8" s="7" t="b">
        <f aca="false">FALSE()</f>
        <v>0</v>
      </c>
      <c r="P8" s="2" t="n">
        <v>51</v>
      </c>
      <c r="Q8" s="2" t="s">
        <v>2205</v>
      </c>
      <c r="R8" s="2"/>
    </row>
    <row r="9" customFormat="false" ht="15" hidden="false" customHeight="false" outlineLevel="0" collapsed="false">
      <c r="A9" s="2" t="s">
        <v>2194</v>
      </c>
      <c r="B9" s="2" t="s">
        <v>35</v>
      </c>
      <c r="C9" s="2" t="s">
        <v>2195</v>
      </c>
      <c r="D9" s="2" t="s">
        <v>2196</v>
      </c>
      <c r="E9" s="2" t="s">
        <v>80</v>
      </c>
      <c r="F9" s="2" t="s">
        <v>2206</v>
      </c>
      <c r="G9" s="5" t="n">
        <v>46236</v>
      </c>
      <c r="H9" s="5" t="n">
        <v>46266</v>
      </c>
      <c r="I9" s="2" t="n">
        <v>30</v>
      </c>
      <c r="J9" s="2" t="s">
        <v>41</v>
      </c>
      <c r="K9" s="6" t="n">
        <v>1988.36</v>
      </c>
      <c r="L9" s="2" t="s">
        <v>43</v>
      </c>
      <c r="M9" s="2" t="s">
        <v>85</v>
      </c>
      <c r="N9" s="2"/>
      <c r="O9" s="7" t="b">
        <f aca="false">FALSE()</f>
        <v>0</v>
      </c>
      <c r="P9" s="2" t="n">
        <v>29</v>
      </c>
      <c r="Q9" s="2" t="s">
        <v>2207</v>
      </c>
      <c r="R9" s="2"/>
    </row>
    <row r="10" customFormat="false" ht="15" hidden="false" customHeight="false" outlineLevel="0" collapsed="false">
      <c r="A10" s="2" t="s">
        <v>2194</v>
      </c>
      <c r="B10" s="2" t="s">
        <v>35</v>
      </c>
      <c r="C10" s="2" t="s">
        <v>2195</v>
      </c>
      <c r="D10" s="2" t="s">
        <v>2196</v>
      </c>
      <c r="E10" s="2" t="s">
        <v>86</v>
      </c>
      <c r="F10" s="2" t="s">
        <v>2197</v>
      </c>
      <c r="G10" s="5" t="n">
        <v>46236</v>
      </c>
      <c r="H10" s="5" t="n">
        <v>46266</v>
      </c>
      <c r="I10" s="2" t="n">
        <v>30</v>
      </c>
      <c r="J10" s="2" t="s">
        <v>41</v>
      </c>
      <c r="K10" s="6" t="n">
        <v>80478.64</v>
      </c>
      <c r="L10" s="2" t="s">
        <v>43</v>
      </c>
      <c r="M10" s="2" t="s">
        <v>91</v>
      </c>
      <c r="N10" s="2"/>
      <c r="O10" s="7" t="b">
        <f aca="false">FALSE()</f>
        <v>0</v>
      </c>
      <c r="P10" s="2" t="n">
        <v>29</v>
      </c>
      <c r="Q10" s="2" t="s">
        <v>2207</v>
      </c>
      <c r="R10" s="2" t="s">
        <v>2208</v>
      </c>
    </row>
    <row r="11" customFormat="false" ht="15" hidden="false" customHeight="false" outlineLevel="0" collapsed="false">
      <c r="A11" s="2" t="s">
        <v>2194</v>
      </c>
      <c r="B11" s="2" t="s">
        <v>35</v>
      </c>
      <c r="C11" s="2" t="s">
        <v>2195</v>
      </c>
      <c r="D11" s="2" t="s">
        <v>2196</v>
      </c>
      <c r="E11" s="2" t="s">
        <v>92</v>
      </c>
      <c r="F11" s="2" t="s">
        <v>2197</v>
      </c>
      <c r="G11" s="5" t="n">
        <v>46240</v>
      </c>
      <c r="H11" s="5" t="n">
        <v>46270</v>
      </c>
      <c r="I11" s="2" t="n">
        <v>30</v>
      </c>
      <c r="J11" s="2" t="s">
        <v>41</v>
      </c>
      <c r="K11" s="6" t="n">
        <v>138916.85</v>
      </c>
      <c r="L11" s="2" t="s">
        <v>43</v>
      </c>
      <c r="M11" s="2" t="s">
        <v>97</v>
      </c>
      <c r="N11" s="2"/>
      <c r="O11" s="7" t="b">
        <f aca="false">FALSE()</f>
        <v>0</v>
      </c>
      <c r="P11" s="2" t="n">
        <v>25</v>
      </c>
      <c r="Q11" s="2" t="s">
        <v>2207</v>
      </c>
      <c r="R11" s="2"/>
    </row>
    <row r="12" customFormat="false" ht="15" hidden="false" customHeight="false" outlineLevel="0" collapsed="false">
      <c r="A12" s="2" t="s">
        <v>2194</v>
      </c>
      <c r="B12" s="2" t="s">
        <v>35</v>
      </c>
      <c r="C12" s="2" t="s">
        <v>2195</v>
      </c>
      <c r="D12" s="2" t="s">
        <v>2196</v>
      </c>
      <c r="E12" s="2" t="s">
        <v>98</v>
      </c>
      <c r="F12" s="2" t="s">
        <v>2197</v>
      </c>
      <c r="G12" s="5" t="n">
        <v>46260</v>
      </c>
      <c r="H12" s="5" t="n">
        <v>46275</v>
      </c>
      <c r="I12" s="2" t="n">
        <v>15</v>
      </c>
      <c r="J12" s="2" t="s">
        <v>41</v>
      </c>
      <c r="K12" s="6" t="n">
        <v>50268</v>
      </c>
      <c r="L12" s="2" t="s">
        <v>43</v>
      </c>
      <c r="M12" s="2" t="s">
        <v>103</v>
      </c>
      <c r="N12" s="2"/>
      <c r="O12" s="7" t="b">
        <f aca="false">FALSE()</f>
        <v>0</v>
      </c>
      <c r="P12" s="2" t="n">
        <v>20</v>
      </c>
      <c r="Q12" s="2" t="s">
        <v>2207</v>
      </c>
      <c r="R12" s="2"/>
    </row>
    <row r="13" customFormat="false" ht="15" hidden="false" customHeight="false" outlineLevel="0" collapsed="false">
      <c r="A13" s="2" t="s">
        <v>2194</v>
      </c>
      <c r="B13" s="2" t="s">
        <v>35</v>
      </c>
      <c r="C13" s="2" t="s">
        <v>2195</v>
      </c>
      <c r="D13" s="2" t="s">
        <v>2196</v>
      </c>
      <c r="E13" s="2" t="s">
        <v>104</v>
      </c>
      <c r="F13" s="2" t="s">
        <v>2197</v>
      </c>
      <c r="G13" s="5" t="n">
        <v>46274</v>
      </c>
      <c r="H13" s="5" t="n">
        <v>46304</v>
      </c>
      <c r="I13" s="2" t="n">
        <v>30</v>
      </c>
      <c r="J13" s="2" t="s">
        <v>41</v>
      </c>
      <c r="K13" s="6" t="n">
        <v>84684.97</v>
      </c>
      <c r="L13" s="2" t="s">
        <v>43</v>
      </c>
      <c r="M13" s="2"/>
      <c r="N13" s="2"/>
      <c r="O13" s="7" t="b">
        <f aca="false">FALSE()</f>
        <v>0</v>
      </c>
      <c r="P13" s="2" t="n">
        <v>-9</v>
      </c>
      <c r="Q13" s="2" t="s">
        <v>2209</v>
      </c>
      <c r="R13" s="2"/>
    </row>
    <row r="14" customFormat="false" ht="15" hidden="false" customHeight="false" outlineLevel="0" collapsed="false">
      <c r="A14" s="2" t="s">
        <v>2194</v>
      </c>
      <c r="B14" s="2" t="s">
        <v>35</v>
      </c>
      <c r="C14" s="2" t="s">
        <v>2195</v>
      </c>
      <c r="D14" s="2" t="s">
        <v>2196</v>
      </c>
      <c r="E14" s="2" t="s">
        <v>108</v>
      </c>
      <c r="F14" s="2" t="s">
        <v>2197</v>
      </c>
      <c r="G14" s="5" t="n">
        <v>46282</v>
      </c>
      <c r="H14" s="5" t="n">
        <v>46312</v>
      </c>
      <c r="I14" s="2" t="n">
        <v>30</v>
      </c>
      <c r="J14" s="2" t="s">
        <v>41</v>
      </c>
      <c r="K14" s="6" t="n">
        <v>368450.74</v>
      </c>
      <c r="L14" s="2" t="s">
        <v>43</v>
      </c>
      <c r="M14" s="2" t="s">
        <v>112</v>
      </c>
      <c r="N14" s="2"/>
      <c r="O14" s="7" t="b">
        <f aca="false">FALSE()</f>
        <v>0</v>
      </c>
      <c r="P14" s="2" t="n">
        <v>-17</v>
      </c>
      <c r="Q14" s="2" t="s">
        <v>2209</v>
      </c>
      <c r="R14" s="2"/>
    </row>
    <row r="15" customFormat="false" ht="15" hidden="false" customHeight="false" outlineLevel="0" collapsed="false">
      <c r="A15" s="2" t="s">
        <v>2194</v>
      </c>
      <c r="B15" s="2" t="s">
        <v>35</v>
      </c>
      <c r="C15" s="2" t="s">
        <v>2195</v>
      </c>
      <c r="D15" s="2" t="s">
        <v>2196</v>
      </c>
      <c r="E15" s="2" t="s">
        <v>113</v>
      </c>
      <c r="F15" s="2" t="s">
        <v>2197</v>
      </c>
      <c r="G15" s="5" t="n">
        <v>46286</v>
      </c>
      <c r="H15" s="5" t="n">
        <v>46316</v>
      </c>
      <c r="I15" s="2" t="n">
        <v>30</v>
      </c>
      <c r="J15" s="2" t="s">
        <v>41</v>
      </c>
      <c r="K15" s="6" t="n">
        <v>192340</v>
      </c>
      <c r="L15" s="2" t="s">
        <v>43</v>
      </c>
      <c r="M15" s="2" t="s">
        <v>117</v>
      </c>
      <c r="N15" s="2"/>
      <c r="O15" s="7" t="b">
        <f aca="false">FALSE()</f>
        <v>0</v>
      </c>
      <c r="P15" s="2" t="n">
        <v>-21</v>
      </c>
      <c r="Q15" s="2" t="s">
        <v>2209</v>
      </c>
      <c r="R15" s="2"/>
    </row>
    <row r="16" customFormat="false" ht="15" hidden="false" customHeight="false" outlineLevel="0" collapsed="false">
      <c r="A16" s="2" t="s">
        <v>2194</v>
      </c>
      <c r="B16" s="2" t="s">
        <v>35</v>
      </c>
      <c r="C16" s="2" t="s">
        <v>2195</v>
      </c>
      <c r="D16" s="2" t="s">
        <v>2196</v>
      </c>
      <c r="E16" s="2" t="s">
        <v>118</v>
      </c>
      <c r="F16" s="2" t="s">
        <v>2197</v>
      </c>
      <c r="G16" s="5" t="n">
        <v>46291</v>
      </c>
      <c r="H16" s="5" t="n">
        <v>46321</v>
      </c>
      <c r="I16" s="2" t="n">
        <v>30</v>
      </c>
      <c r="J16" s="2" t="s">
        <v>41</v>
      </c>
      <c r="K16" s="6" t="n">
        <v>147618</v>
      </c>
      <c r="L16" s="2" t="s">
        <v>43</v>
      </c>
      <c r="M16" s="2" t="s">
        <v>123</v>
      </c>
      <c r="N16" s="2"/>
      <c r="O16" s="7" t="b">
        <f aca="false">FALSE()</f>
        <v>0</v>
      </c>
      <c r="P16" s="2" t="n">
        <v>-26</v>
      </c>
      <c r="Q16" s="2" t="s">
        <v>2209</v>
      </c>
      <c r="R16" s="2"/>
    </row>
    <row r="17" customFormat="false" ht="15" hidden="false" customHeight="false" outlineLevel="0" collapsed="false">
      <c r="A17" s="2" t="s">
        <v>126</v>
      </c>
      <c r="B17" s="2" t="s">
        <v>127</v>
      </c>
      <c r="C17" s="2" t="s">
        <v>2210</v>
      </c>
      <c r="D17" s="2" t="s">
        <v>2211</v>
      </c>
      <c r="E17" s="2" t="s">
        <v>128</v>
      </c>
      <c r="F17" s="2" t="s">
        <v>2212</v>
      </c>
      <c r="G17" s="5" t="n">
        <v>46242</v>
      </c>
      <c r="H17" s="5" t="n">
        <v>46242</v>
      </c>
      <c r="I17" s="2" t="n">
        <v>0</v>
      </c>
      <c r="J17" s="2" t="s">
        <v>41</v>
      </c>
      <c r="K17" s="6" t="n">
        <v>-20619.99</v>
      </c>
      <c r="L17" s="2" t="s">
        <v>137</v>
      </c>
      <c r="M17" s="2"/>
      <c r="N17" s="2"/>
      <c r="O17" s="7" t="b">
        <f aca="false">FALSE()</f>
        <v>0</v>
      </c>
      <c r="P17" s="2" t="n">
        <v>53</v>
      </c>
      <c r="Q17" s="2" t="s">
        <v>2205</v>
      </c>
      <c r="R17" s="2"/>
    </row>
    <row r="18" customFormat="false" ht="15" hidden="false" customHeight="false" outlineLevel="0" collapsed="false">
      <c r="A18" s="2" t="s">
        <v>126</v>
      </c>
      <c r="B18" s="2" t="s">
        <v>127</v>
      </c>
      <c r="C18" s="2" t="s">
        <v>2210</v>
      </c>
      <c r="D18" s="2" t="s">
        <v>2211</v>
      </c>
      <c r="E18" s="2" t="s">
        <v>133</v>
      </c>
      <c r="F18" s="2" t="s">
        <v>2197</v>
      </c>
      <c r="G18" s="5" t="n">
        <v>46261</v>
      </c>
      <c r="H18" s="5" t="n">
        <v>46291</v>
      </c>
      <c r="I18" s="2" t="n">
        <v>30</v>
      </c>
      <c r="J18" s="2" t="s">
        <v>41</v>
      </c>
      <c r="K18" s="6" t="n">
        <v>140774</v>
      </c>
      <c r="L18" s="2" t="s">
        <v>137</v>
      </c>
      <c r="M18" s="2"/>
      <c r="N18" s="2"/>
      <c r="O18" s="7" t="b">
        <f aca="false">FALSE()</f>
        <v>0</v>
      </c>
      <c r="P18" s="2" t="n">
        <v>4</v>
      </c>
      <c r="Q18" s="2" t="s">
        <v>2207</v>
      </c>
      <c r="R18" s="2"/>
    </row>
    <row r="19" customFormat="false" ht="15" hidden="false" customHeight="false" outlineLevel="0" collapsed="false">
      <c r="A19" s="2" t="s">
        <v>140</v>
      </c>
      <c r="B19" s="2" t="s">
        <v>141</v>
      </c>
      <c r="C19" s="2" t="s">
        <v>2213</v>
      </c>
      <c r="D19" s="2" t="s">
        <v>2211</v>
      </c>
      <c r="E19" s="2" t="s">
        <v>142</v>
      </c>
      <c r="F19" s="2" t="s">
        <v>2197</v>
      </c>
      <c r="G19" s="5" t="n">
        <v>46217</v>
      </c>
      <c r="H19" s="5" t="n">
        <v>46232</v>
      </c>
      <c r="I19" s="2" t="n">
        <v>15</v>
      </c>
      <c r="J19" s="2" t="s">
        <v>41</v>
      </c>
      <c r="K19" s="6" t="n">
        <v>61360</v>
      </c>
      <c r="L19" s="2" t="s">
        <v>43</v>
      </c>
      <c r="M19" s="2"/>
      <c r="N19" s="2"/>
      <c r="O19" s="7" t="b">
        <f aca="false">FALSE()</f>
        <v>0</v>
      </c>
      <c r="P19" s="2" t="n">
        <v>63</v>
      </c>
      <c r="Q19" s="2" t="s">
        <v>2203</v>
      </c>
      <c r="R19" s="2"/>
    </row>
    <row r="20" customFormat="false" ht="15" hidden="false" customHeight="false" outlineLevel="0" collapsed="false">
      <c r="A20" s="2" t="s">
        <v>140</v>
      </c>
      <c r="B20" s="2" t="s">
        <v>141</v>
      </c>
      <c r="C20" s="2" t="s">
        <v>2213</v>
      </c>
      <c r="D20" s="2" t="s">
        <v>2211</v>
      </c>
      <c r="E20" s="2" t="s">
        <v>148</v>
      </c>
      <c r="F20" s="2" t="s">
        <v>2197</v>
      </c>
      <c r="G20" s="5" t="n">
        <v>46255</v>
      </c>
      <c r="H20" s="5" t="n">
        <v>46270</v>
      </c>
      <c r="I20" s="2" t="n">
        <v>15</v>
      </c>
      <c r="J20" s="2" t="s">
        <v>41</v>
      </c>
      <c r="K20" s="6" t="n">
        <v>28084</v>
      </c>
      <c r="L20" s="2" t="s">
        <v>43</v>
      </c>
      <c r="M20" s="2"/>
      <c r="N20" s="2"/>
      <c r="O20" s="7" t="b">
        <f aca="false">FALSE()</f>
        <v>0</v>
      </c>
      <c r="P20" s="2" t="n">
        <v>25</v>
      </c>
      <c r="Q20" s="2" t="s">
        <v>2207</v>
      </c>
      <c r="R20" s="2"/>
    </row>
    <row r="21" customFormat="false" ht="15" hidden="false" customHeight="false" outlineLevel="0" collapsed="false">
      <c r="A21" s="2" t="s">
        <v>140</v>
      </c>
      <c r="B21" s="2" t="s">
        <v>141</v>
      </c>
      <c r="C21" s="2" t="s">
        <v>2213</v>
      </c>
      <c r="D21" s="2" t="s">
        <v>2211</v>
      </c>
      <c r="E21" s="2" t="s">
        <v>151</v>
      </c>
      <c r="F21" s="2" t="s">
        <v>2197</v>
      </c>
      <c r="G21" s="5" t="n">
        <v>46267</v>
      </c>
      <c r="H21" s="5" t="n">
        <v>46282</v>
      </c>
      <c r="I21" s="2" t="n">
        <v>15</v>
      </c>
      <c r="J21" s="2" t="s">
        <v>41</v>
      </c>
      <c r="K21" s="6" t="n">
        <v>15340</v>
      </c>
      <c r="L21" s="2" t="s">
        <v>43</v>
      </c>
      <c r="M21" s="2"/>
      <c r="N21" s="2"/>
      <c r="O21" s="7" t="b">
        <f aca="false">FALSE()</f>
        <v>0</v>
      </c>
      <c r="P21" s="2" t="n">
        <v>13</v>
      </c>
      <c r="Q21" s="2" t="s">
        <v>2207</v>
      </c>
      <c r="R21" s="2"/>
    </row>
    <row r="22" customFormat="false" ht="15" hidden="false" customHeight="false" outlineLevel="0" collapsed="false">
      <c r="A22" s="2" t="s">
        <v>155</v>
      </c>
      <c r="B22" s="2" t="s">
        <v>156</v>
      </c>
      <c r="C22" s="2" t="s">
        <v>2214</v>
      </c>
      <c r="D22" s="2" t="s">
        <v>2215</v>
      </c>
      <c r="E22" s="2" t="s">
        <v>157</v>
      </c>
      <c r="F22" s="2" t="s">
        <v>2197</v>
      </c>
      <c r="G22" s="5" t="n">
        <v>45974</v>
      </c>
      <c r="H22" s="5" t="n">
        <v>46019</v>
      </c>
      <c r="I22" s="2" t="n">
        <v>45</v>
      </c>
      <c r="J22" s="2" t="s">
        <v>41</v>
      </c>
      <c r="K22" s="6" t="n">
        <v>57015</v>
      </c>
      <c r="L22" s="2" t="s">
        <v>162</v>
      </c>
      <c r="M22" s="2" t="s">
        <v>163</v>
      </c>
      <c r="N22" s="2" t="s">
        <v>164</v>
      </c>
      <c r="O22" s="7" t="b">
        <f aca="false">FALSE()</f>
        <v>0</v>
      </c>
      <c r="P22" s="2" t="n">
        <v>276</v>
      </c>
      <c r="Q22" s="2" t="s">
        <v>2198</v>
      </c>
      <c r="R22" s="2"/>
    </row>
    <row r="23" customFormat="false" ht="15" hidden="false" customHeight="false" outlineLevel="0" collapsed="false">
      <c r="A23" s="2" t="s">
        <v>155</v>
      </c>
      <c r="B23" s="2" t="s">
        <v>156</v>
      </c>
      <c r="C23" s="2" t="s">
        <v>2214</v>
      </c>
      <c r="D23" s="2" t="s">
        <v>2215</v>
      </c>
      <c r="E23" s="2" t="s">
        <v>165</v>
      </c>
      <c r="F23" s="2" t="s">
        <v>2197</v>
      </c>
      <c r="G23" s="5" t="n">
        <v>46039</v>
      </c>
      <c r="H23" s="5" t="n">
        <v>46084</v>
      </c>
      <c r="I23" s="2" t="n">
        <v>45</v>
      </c>
      <c r="J23" s="2" t="s">
        <v>41</v>
      </c>
      <c r="K23" s="6" t="n">
        <v>560146</v>
      </c>
      <c r="L23" s="2" t="s">
        <v>43</v>
      </c>
      <c r="M23" s="2" t="s">
        <v>169</v>
      </c>
      <c r="N23" s="2"/>
      <c r="O23" s="7" t="b">
        <f aca="false">FALSE()</f>
        <v>0</v>
      </c>
      <c r="P23" s="2" t="n">
        <v>211</v>
      </c>
      <c r="Q23" s="2" t="s">
        <v>2198</v>
      </c>
      <c r="R23" s="2"/>
    </row>
    <row r="24" customFormat="false" ht="15" hidden="false" customHeight="false" outlineLevel="0" collapsed="false">
      <c r="A24" s="2" t="s">
        <v>155</v>
      </c>
      <c r="B24" s="2" t="s">
        <v>156</v>
      </c>
      <c r="C24" s="2" t="s">
        <v>2214</v>
      </c>
      <c r="D24" s="2" t="s">
        <v>2215</v>
      </c>
      <c r="E24" s="2" t="s">
        <v>170</v>
      </c>
      <c r="F24" s="2" t="s">
        <v>2197</v>
      </c>
      <c r="G24" s="5" t="n">
        <v>46107</v>
      </c>
      <c r="H24" s="5" t="n">
        <v>46152</v>
      </c>
      <c r="I24" s="2" t="n">
        <v>45</v>
      </c>
      <c r="J24" s="2" t="s">
        <v>41</v>
      </c>
      <c r="K24" s="6" t="n">
        <v>27258</v>
      </c>
      <c r="L24" s="2" t="s">
        <v>43</v>
      </c>
      <c r="M24" s="2" t="s">
        <v>176</v>
      </c>
      <c r="N24" s="2"/>
      <c r="O24" s="7" t="b">
        <f aca="false">FALSE()</f>
        <v>0</v>
      </c>
      <c r="P24" s="2" t="n">
        <v>143</v>
      </c>
      <c r="Q24" s="2" t="s">
        <v>2201</v>
      </c>
      <c r="R24" s="2"/>
    </row>
    <row r="25" customFormat="false" ht="15" hidden="false" customHeight="false" outlineLevel="0" collapsed="false">
      <c r="A25" s="2" t="s">
        <v>155</v>
      </c>
      <c r="B25" s="2" t="s">
        <v>156</v>
      </c>
      <c r="C25" s="2" t="s">
        <v>2214</v>
      </c>
      <c r="D25" s="2" t="s">
        <v>2215</v>
      </c>
      <c r="E25" s="2" t="s">
        <v>177</v>
      </c>
      <c r="F25" s="2" t="s">
        <v>2197</v>
      </c>
      <c r="G25" s="5" t="n">
        <v>46112</v>
      </c>
      <c r="H25" s="5" t="n">
        <v>46157</v>
      </c>
      <c r="I25" s="2" t="n">
        <v>45</v>
      </c>
      <c r="J25" s="2" t="s">
        <v>41</v>
      </c>
      <c r="K25" s="6" t="n">
        <v>25760</v>
      </c>
      <c r="L25" s="2" t="s">
        <v>43</v>
      </c>
      <c r="M25" s="2"/>
      <c r="N25" s="2"/>
      <c r="O25" s="7" t="b">
        <f aca="false">FALSE()</f>
        <v>0</v>
      </c>
      <c r="P25" s="2" t="n">
        <v>138</v>
      </c>
      <c r="Q25" s="2" t="s">
        <v>2201</v>
      </c>
      <c r="R25" s="2"/>
    </row>
    <row r="26" customFormat="false" ht="15" hidden="false" customHeight="false" outlineLevel="0" collapsed="false">
      <c r="A26" s="2" t="s">
        <v>155</v>
      </c>
      <c r="B26" s="2" t="s">
        <v>156</v>
      </c>
      <c r="C26" s="2" t="s">
        <v>2214</v>
      </c>
      <c r="D26" s="2" t="s">
        <v>2215</v>
      </c>
      <c r="E26" s="2" t="s">
        <v>189</v>
      </c>
      <c r="F26" s="2" t="s">
        <v>2197</v>
      </c>
      <c r="G26" s="5" t="n">
        <v>46176</v>
      </c>
      <c r="H26" s="5" t="n">
        <v>46221</v>
      </c>
      <c r="I26" s="2" t="n">
        <v>45</v>
      </c>
      <c r="J26" s="2" t="s">
        <v>41</v>
      </c>
      <c r="K26" s="6" t="n">
        <v>606900</v>
      </c>
      <c r="L26" s="2" t="s">
        <v>1596</v>
      </c>
      <c r="M26" s="2" t="s">
        <v>194</v>
      </c>
      <c r="N26" s="2"/>
      <c r="O26" s="7" t="b">
        <f aca="false">FALSE()</f>
        <v>0</v>
      </c>
      <c r="P26" s="2" t="n">
        <v>74</v>
      </c>
      <c r="Q26" s="2" t="s">
        <v>2203</v>
      </c>
      <c r="R26" s="2"/>
    </row>
    <row r="27" customFormat="false" ht="15" hidden="false" customHeight="false" outlineLevel="0" collapsed="false">
      <c r="A27" s="2" t="s">
        <v>155</v>
      </c>
      <c r="B27" s="2" t="s">
        <v>156</v>
      </c>
      <c r="C27" s="2" t="s">
        <v>2214</v>
      </c>
      <c r="D27" s="2" t="s">
        <v>2215</v>
      </c>
      <c r="E27" s="2" t="s">
        <v>181</v>
      </c>
      <c r="F27" s="2" t="s">
        <v>2206</v>
      </c>
      <c r="G27" s="5" t="n">
        <v>46178</v>
      </c>
      <c r="H27" s="5" t="n">
        <v>46223</v>
      </c>
      <c r="I27" s="2" t="n">
        <v>45</v>
      </c>
      <c r="J27" s="2" t="s">
        <v>41</v>
      </c>
      <c r="K27" s="6" t="n">
        <v>4480</v>
      </c>
      <c r="L27" s="2" t="s">
        <v>43</v>
      </c>
      <c r="M27" s="2" t="s">
        <v>185</v>
      </c>
      <c r="N27" s="2"/>
      <c r="O27" s="7" t="b">
        <f aca="false">FALSE()</f>
        <v>0</v>
      </c>
      <c r="P27" s="2" t="n">
        <v>72</v>
      </c>
      <c r="Q27" s="2" t="s">
        <v>2203</v>
      </c>
      <c r="R27" s="2"/>
    </row>
    <row r="28" customFormat="false" ht="15" hidden="false" customHeight="false" outlineLevel="0" collapsed="false">
      <c r="A28" s="2" t="s">
        <v>155</v>
      </c>
      <c r="B28" s="2" t="s">
        <v>156</v>
      </c>
      <c r="C28" s="2" t="s">
        <v>2214</v>
      </c>
      <c r="D28" s="2" t="s">
        <v>2215</v>
      </c>
      <c r="E28" s="2" t="s">
        <v>186</v>
      </c>
      <c r="F28" s="2" t="s">
        <v>2197</v>
      </c>
      <c r="G28" s="5" t="n">
        <v>46191</v>
      </c>
      <c r="H28" s="5" t="n">
        <v>46236</v>
      </c>
      <c r="I28" s="2" t="n">
        <v>45</v>
      </c>
      <c r="J28" s="2" t="s">
        <v>41</v>
      </c>
      <c r="K28" s="6" t="n">
        <v>402380</v>
      </c>
      <c r="L28" s="2" t="s">
        <v>43</v>
      </c>
      <c r="M28" s="2"/>
      <c r="N28" s="2"/>
      <c r="O28" s="7" t="b">
        <f aca="false">FALSE()</f>
        <v>0</v>
      </c>
      <c r="P28" s="2" t="n">
        <v>59</v>
      </c>
      <c r="Q28" s="2" t="s">
        <v>2205</v>
      </c>
      <c r="R28" s="2"/>
    </row>
    <row r="29" customFormat="false" ht="15" hidden="false" customHeight="false" outlineLevel="0" collapsed="false">
      <c r="A29" s="2" t="s">
        <v>155</v>
      </c>
      <c r="B29" s="2" t="s">
        <v>156</v>
      </c>
      <c r="C29" s="2" t="s">
        <v>2214</v>
      </c>
      <c r="D29" s="2" t="s">
        <v>2215</v>
      </c>
      <c r="E29" s="2" t="s">
        <v>195</v>
      </c>
      <c r="F29" s="2" t="s">
        <v>2197</v>
      </c>
      <c r="G29" s="5" t="n">
        <v>46224</v>
      </c>
      <c r="H29" s="5" t="n">
        <v>46269</v>
      </c>
      <c r="I29" s="2" t="n">
        <v>45</v>
      </c>
      <c r="J29" s="2" t="s">
        <v>41</v>
      </c>
      <c r="K29" s="6" t="n">
        <v>46451.21</v>
      </c>
      <c r="L29" s="2" t="s">
        <v>43</v>
      </c>
      <c r="M29" s="2" t="s">
        <v>199</v>
      </c>
      <c r="N29" s="2"/>
      <c r="O29" s="7" t="b">
        <f aca="false">FALSE()</f>
        <v>0</v>
      </c>
      <c r="P29" s="2" t="n">
        <v>26</v>
      </c>
      <c r="Q29" s="2" t="s">
        <v>2207</v>
      </c>
      <c r="R29" s="2"/>
    </row>
    <row r="30" customFormat="false" ht="15" hidden="false" customHeight="false" outlineLevel="0" collapsed="false">
      <c r="A30" s="2" t="s">
        <v>155</v>
      </c>
      <c r="B30" s="2" t="s">
        <v>156</v>
      </c>
      <c r="C30" s="2" t="s">
        <v>2214</v>
      </c>
      <c r="D30" s="2" t="s">
        <v>2215</v>
      </c>
      <c r="E30" s="2" t="s">
        <v>200</v>
      </c>
      <c r="F30" s="2" t="s">
        <v>2197</v>
      </c>
      <c r="G30" s="5" t="n">
        <v>46229</v>
      </c>
      <c r="H30" s="5" t="n">
        <v>46274</v>
      </c>
      <c r="I30" s="2" t="n">
        <v>45</v>
      </c>
      <c r="J30" s="2" t="s">
        <v>41</v>
      </c>
      <c r="K30" s="6" t="n">
        <v>11303.68</v>
      </c>
      <c r="L30" s="2" t="s">
        <v>2204</v>
      </c>
      <c r="M30" s="2" t="s">
        <v>203</v>
      </c>
      <c r="N30" s="2"/>
      <c r="O30" s="7" t="b">
        <f aca="false">FALSE()</f>
        <v>0</v>
      </c>
      <c r="P30" s="2" t="n">
        <v>21</v>
      </c>
      <c r="Q30" s="2" t="s">
        <v>2207</v>
      </c>
      <c r="R30" s="2"/>
    </row>
    <row r="31" customFormat="false" ht="15" hidden="false" customHeight="false" outlineLevel="0" collapsed="false">
      <c r="A31" s="2" t="s">
        <v>155</v>
      </c>
      <c r="B31" s="2" t="s">
        <v>156</v>
      </c>
      <c r="C31" s="2" t="s">
        <v>2214</v>
      </c>
      <c r="D31" s="2" t="s">
        <v>2215</v>
      </c>
      <c r="E31" s="2" t="s">
        <v>204</v>
      </c>
      <c r="F31" s="2" t="s">
        <v>2197</v>
      </c>
      <c r="G31" s="5" t="n">
        <v>46241</v>
      </c>
      <c r="H31" s="5" t="n">
        <v>46286</v>
      </c>
      <c r="I31" s="2" t="n">
        <v>45</v>
      </c>
      <c r="J31" s="2" t="s">
        <v>41</v>
      </c>
      <c r="K31" s="6" t="n">
        <v>56286</v>
      </c>
      <c r="L31" s="2" t="s">
        <v>43</v>
      </c>
      <c r="M31" s="2" t="s">
        <v>208</v>
      </c>
      <c r="N31" s="2"/>
      <c r="O31" s="7" t="b">
        <f aca="false">FALSE()</f>
        <v>0</v>
      </c>
      <c r="P31" s="2" t="n">
        <v>9</v>
      </c>
      <c r="Q31" s="2" t="s">
        <v>2207</v>
      </c>
      <c r="R31" s="2"/>
    </row>
    <row r="32" customFormat="false" ht="15" hidden="false" customHeight="false" outlineLevel="0" collapsed="false">
      <c r="A32" s="2" t="s">
        <v>155</v>
      </c>
      <c r="B32" s="2" t="s">
        <v>156</v>
      </c>
      <c r="C32" s="2" t="s">
        <v>2214</v>
      </c>
      <c r="D32" s="2" t="s">
        <v>2215</v>
      </c>
      <c r="E32" s="2" t="s">
        <v>209</v>
      </c>
      <c r="F32" s="2" t="s">
        <v>2197</v>
      </c>
      <c r="G32" s="5" t="n">
        <v>46253</v>
      </c>
      <c r="H32" s="5" t="n">
        <v>46298</v>
      </c>
      <c r="I32" s="2" t="n">
        <v>45</v>
      </c>
      <c r="J32" s="2" t="s">
        <v>41</v>
      </c>
      <c r="K32" s="6" t="n">
        <v>66394.53</v>
      </c>
      <c r="L32" s="2" t="s">
        <v>43</v>
      </c>
      <c r="M32" s="2" t="s">
        <v>214</v>
      </c>
      <c r="N32" s="2"/>
      <c r="O32" s="7" t="b">
        <f aca="false">FALSE()</f>
        <v>0</v>
      </c>
      <c r="P32" s="2" t="n">
        <v>-3</v>
      </c>
      <c r="Q32" s="2" t="s">
        <v>2209</v>
      </c>
      <c r="R32" s="2"/>
    </row>
    <row r="33" customFormat="false" ht="15" hidden="false" customHeight="false" outlineLevel="0" collapsed="false">
      <c r="A33" s="2" t="s">
        <v>155</v>
      </c>
      <c r="B33" s="2" t="s">
        <v>156</v>
      </c>
      <c r="C33" s="2" t="s">
        <v>2214</v>
      </c>
      <c r="D33" s="2" t="s">
        <v>2215</v>
      </c>
      <c r="E33" s="2" t="s">
        <v>2216</v>
      </c>
      <c r="F33" s="2" t="s">
        <v>2197</v>
      </c>
      <c r="G33" s="5" t="n">
        <v>46255</v>
      </c>
      <c r="H33" s="5" t="n">
        <v>46315</v>
      </c>
      <c r="I33" s="2" t="n">
        <v>60</v>
      </c>
      <c r="J33" s="2" t="s">
        <v>41</v>
      </c>
      <c r="K33" s="6" t="n">
        <v>35754</v>
      </c>
      <c r="L33" s="2" t="s">
        <v>43</v>
      </c>
      <c r="M33" s="2" t="s">
        <v>220</v>
      </c>
      <c r="N33" s="2"/>
      <c r="O33" s="7" t="b">
        <f aca="false">FALSE()</f>
        <v>0</v>
      </c>
      <c r="P33" s="2" t="n">
        <v>-20</v>
      </c>
      <c r="Q33" s="2" t="s">
        <v>2209</v>
      </c>
      <c r="R33" s="2"/>
    </row>
    <row r="34" customFormat="false" ht="15" hidden="false" customHeight="false" outlineLevel="0" collapsed="false">
      <c r="A34" s="2" t="s">
        <v>155</v>
      </c>
      <c r="B34" s="2" t="s">
        <v>156</v>
      </c>
      <c r="C34" s="2" t="s">
        <v>2214</v>
      </c>
      <c r="D34" s="2" t="s">
        <v>2215</v>
      </c>
      <c r="E34" s="2" t="s">
        <v>221</v>
      </c>
      <c r="F34" s="2" t="s">
        <v>2212</v>
      </c>
      <c r="G34" s="5" t="n">
        <v>46256</v>
      </c>
      <c r="H34" s="5" t="n">
        <v>46256</v>
      </c>
      <c r="I34" s="2" t="n">
        <v>0</v>
      </c>
      <c r="J34" s="2" t="s">
        <v>41</v>
      </c>
      <c r="K34" s="6" t="n">
        <v>-55658.43</v>
      </c>
      <c r="L34" s="2" t="s">
        <v>2204</v>
      </c>
      <c r="M34" s="2" t="s">
        <v>226</v>
      </c>
      <c r="N34" s="2"/>
      <c r="O34" s="7" t="b">
        <f aca="false">FALSE()</f>
        <v>0</v>
      </c>
      <c r="P34" s="2" t="n">
        <v>39</v>
      </c>
      <c r="Q34" s="2" t="s">
        <v>2205</v>
      </c>
      <c r="R34" s="2"/>
    </row>
    <row r="35" customFormat="false" ht="15" hidden="false" customHeight="false" outlineLevel="0" collapsed="false">
      <c r="A35" s="2" t="s">
        <v>155</v>
      </c>
      <c r="B35" s="2" t="s">
        <v>156</v>
      </c>
      <c r="C35" s="2" t="s">
        <v>2214</v>
      </c>
      <c r="D35" s="2" t="s">
        <v>2215</v>
      </c>
      <c r="E35" s="2" t="s">
        <v>2217</v>
      </c>
      <c r="F35" s="2" t="s">
        <v>2197</v>
      </c>
      <c r="G35" s="5" t="n">
        <v>46279</v>
      </c>
      <c r="H35" s="5" t="n">
        <v>46324</v>
      </c>
      <c r="I35" s="2" t="n">
        <v>45</v>
      </c>
      <c r="J35" s="2" t="s">
        <v>41</v>
      </c>
      <c r="K35" s="6" t="n">
        <v>45062.24</v>
      </c>
      <c r="L35" s="2" t="s">
        <v>43</v>
      </c>
      <c r="M35" s="2" t="s">
        <v>231</v>
      </c>
      <c r="N35" s="2"/>
      <c r="O35" s="7" t="b">
        <f aca="false">FALSE()</f>
        <v>0</v>
      </c>
      <c r="P35" s="2" t="n">
        <v>-29</v>
      </c>
      <c r="Q35" s="2" t="s">
        <v>2209</v>
      </c>
      <c r="R35" s="2"/>
    </row>
    <row r="36" customFormat="false" ht="15" hidden="false" customHeight="false" outlineLevel="0" collapsed="false">
      <c r="A36" s="2" t="s">
        <v>155</v>
      </c>
      <c r="B36" s="2" t="s">
        <v>156</v>
      </c>
      <c r="C36" s="2" t="s">
        <v>2214</v>
      </c>
      <c r="D36" s="2" t="s">
        <v>2215</v>
      </c>
      <c r="E36" s="2" t="s">
        <v>232</v>
      </c>
      <c r="F36" s="2" t="s">
        <v>2197</v>
      </c>
      <c r="G36" s="5" t="n">
        <v>46280</v>
      </c>
      <c r="H36" s="5" t="n">
        <v>46325</v>
      </c>
      <c r="I36" s="2" t="n">
        <v>45</v>
      </c>
      <c r="J36" s="2" t="s">
        <v>41</v>
      </c>
      <c r="K36" s="6" t="n">
        <v>73925.76</v>
      </c>
      <c r="L36" s="2" t="s">
        <v>43</v>
      </c>
      <c r="M36" s="2" t="s">
        <v>237</v>
      </c>
      <c r="N36" s="2"/>
      <c r="O36" s="7" t="b">
        <f aca="false">FALSE()</f>
        <v>0</v>
      </c>
      <c r="P36" s="2" t="n">
        <v>-30</v>
      </c>
      <c r="Q36" s="2" t="s">
        <v>2209</v>
      </c>
      <c r="R36" s="2"/>
    </row>
    <row r="37" customFormat="false" ht="15" hidden="false" customHeight="false" outlineLevel="0" collapsed="false">
      <c r="A37" s="2" t="s">
        <v>155</v>
      </c>
      <c r="B37" s="2" t="s">
        <v>156</v>
      </c>
      <c r="C37" s="2" t="s">
        <v>2214</v>
      </c>
      <c r="D37" s="2" t="s">
        <v>2215</v>
      </c>
      <c r="E37" s="2" t="s">
        <v>2218</v>
      </c>
      <c r="F37" s="2" t="s">
        <v>2197</v>
      </c>
      <c r="G37" s="5" t="n">
        <v>46280</v>
      </c>
      <c r="H37" s="5" t="n">
        <v>46325</v>
      </c>
      <c r="I37" s="2" t="n">
        <v>45</v>
      </c>
      <c r="J37" s="2" t="s">
        <v>41</v>
      </c>
      <c r="K37" s="6" t="n">
        <v>81920</v>
      </c>
      <c r="L37" s="2" t="s">
        <v>43</v>
      </c>
      <c r="M37" s="2" t="s">
        <v>240</v>
      </c>
      <c r="N37" s="2"/>
      <c r="O37" s="7" t="b">
        <f aca="false">FALSE()</f>
        <v>0</v>
      </c>
      <c r="P37" s="2" t="n">
        <v>-30</v>
      </c>
      <c r="Q37" s="2" t="s">
        <v>2209</v>
      </c>
      <c r="R37" s="2" t="s">
        <v>2202</v>
      </c>
    </row>
    <row r="38" customFormat="false" ht="15" hidden="false" customHeight="false" outlineLevel="0" collapsed="false">
      <c r="A38" s="2" t="s">
        <v>155</v>
      </c>
      <c r="B38" s="2" t="s">
        <v>156</v>
      </c>
      <c r="C38" s="2" t="s">
        <v>2214</v>
      </c>
      <c r="D38" s="2" t="s">
        <v>2215</v>
      </c>
      <c r="E38" s="2" t="s">
        <v>241</v>
      </c>
      <c r="F38" s="2" t="s">
        <v>2197</v>
      </c>
      <c r="G38" s="5" t="n">
        <v>46283</v>
      </c>
      <c r="H38" s="5" t="n">
        <v>46328</v>
      </c>
      <c r="I38" s="2" t="n">
        <v>45</v>
      </c>
      <c r="J38" s="2" t="s">
        <v>41</v>
      </c>
      <c r="K38" s="6" t="n">
        <v>476838</v>
      </c>
      <c r="L38" s="2" t="s">
        <v>43</v>
      </c>
      <c r="M38" s="2" t="s">
        <v>246</v>
      </c>
      <c r="N38" s="2"/>
      <c r="O38" s="7" t="b">
        <f aca="false">FALSE()</f>
        <v>0</v>
      </c>
      <c r="P38" s="2" t="n">
        <v>-33</v>
      </c>
      <c r="Q38" s="2" t="s">
        <v>2209</v>
      </c>
      <c r="R38" s="2"/>
    </row>
    <row r="39" customFormat="false" ht="15" hidden="false" customHeight="false" outlineLevel="0" collapsed="false">
      <c r="A39" s="2" t="s">
        <v>155</v>
      </c>
      <c r="B39" s="2" t="s">
        <v>156</v>
      </c>
      <c r="C39" s="2" t="s">
        <v>2214</v>
      </c>
      <c r="D39" s="2" t="s">
        <v>2215</v>
      </c>
      <c r="E39" s="2" t="s">
        <v>247</v>
      </c>
      <c r="F39" s="2" t="s">
        <v>2197</v>
      </c>
      <c r="G39" s="5" t="n">
        <v>46285</v>
      </c>
      <c r="H39" s="5" t="n">
        <v>46330</v>
      </c>
      <c r="I39" s="2" t="n">
        <v>45</v>
      </c>
      <c r="J39" s="2" t="s">
        <v>41</v>
      </c>
      <c r="K39" s="6" t="n">
        <v>37760</v>
      </c>
      <c r="L39" s="2" t="s">
        <v>43</v>
      </c>
      <c r="M39" s="2" t="s">
        <v>251</v>
      </c>
      <c r="N39" s="2"/>
      <c r="O39" s="7" t="b">
        <f aca="false">FALSE()</f>
        <v>0</v>
      </c>
      <c r="P39" s="2" t="n">
        <v>-35</v>
      </c>
      <c r="Q39" s="2" t="s">
        <v>2209</v>
      </c>
      <c r="R39" s="2"/>
    </row>
    <row r="40" customFormat="false" ht="15" hidden="false" customHeight="false" outlineLevel="0" collapsed="false">
      <c r="A40" s="2" t="s">
        <v>253</v>
      </c>
      <c r="B40" s="2" t="s">
        <v>254</v>
      </c>
      <c r="C40" s="2" t="s">
        <v>2213</v>
      </c>
      <c r="D40" s="2" t="s">
        <v>2215</v>
      </c>
      <c r="E40" s="2" t="s">
        <v>255</v>
      </c>
      <c r="F40" s="2" t="s">
        <v>2197</v>
      </c>
      <c r="G40" s="5" t="n">
        <v>46163</v>
      </c>
      <c r="H40" s="5" t="n">
        <v>46208</v>
      </c>
      <c r="I40" s="2" t="n">
        <v>45</v>
      </c>
      <c r="J40" s="2" t="s">
        <v>41</v>
      </c>
      <c r="K40" s="6" t="n">
        <v>46964</v>
      </c>
      <c r="L40" s="2" t="s">
        <v>162</v>
      </c>
      <c r="M40" s="2" t="s">
        <v>259</v>
      </c>
      <c r="N40" s="2" t="s">
        <v>57</v>
      </c>
      <c r="O40" s="7" t="b">
        <f aca="false">FALSE()</f>
        <v>0</v>
      </c>
      <c r="P40" s="2" t="n">
        <v>87</v>
      </c>
      <c r="Q40" s="2" t="s">
        <v>2203</v>
      </c>
      <c r="R40" s="2"/>
    </row>
    <row r="41" customFormat="false" ht="15" hidden="false" customHeight="false" outlineLevel="0" collapsed="false">
      <c r="A41" s="2" t="s">
        <v>253</v>
      </c>
      <c r="B41" s="2" t="s">
        <v>254</v>
      </c>
      <c r="C41" s="2" t="s">
        <v>2213</v>
      </c>
      <c r="D41" s="2" t="s">
        <v>2215</v>
      </c>
      <c r="E41" s="2" t="s">
        <v>262</v>
      </c>
      <c r="F41" s="2" t="s">
        <v>2197</v>
      </c>
      <c r="G41" s="5" t="n">
        <v>46190</v>
      </c>
      <c r="H41" s="5" t="n">
        <v>46220</v>
      </c>
      <c r="I41" s="2" t="n">
        <v>30</v>
      </c>
      <c r="J41" s="2" t="s">
        <v>41</v>
      </c>
      <c r="K41" s="6" t="n">
        <v>38114</v>
      </c>
      <c r="L41" s="2" t="s">
        <v>2204</v>
      </c>
      <c r="M41" s="2" t="s">
        <v>266</v>
      </c>
      <c r="N41" s="2"/>
      <c r="O41" s="7" t="b">
        <f aca="false">FALSE()</f>
        <v>0</v>
      </c>
      <c r="P41" s="2" t="n">
        <v>75</v>
      </c>
      <c r="Q41" s="2" t="s">
        <v>2203</v>
      </c>
      <c r="R41" s="2"/>
    </row>
    <row r="42" customFormat="false" ht="15" hidden="false" customHeight="false" outlineLevel="0" collapsed="false">
      <c r="A42" s="2" t="s">
        <v>253</v>
      </c>
      <c r="B42" s="2" t="s">
        <v>254</v>
      </c>
      <c r="C42" s="2" t="s">
        <v>2213</v>
      </c>
      <c r="D42" s="2" t="s">
        <v>2215</v>
      </c>
      <c r="E42" s="2" t="s">
        <v>267</v>
      </c>
      <c r="F42" s="2" t="s">
        <v>2197</v>
      </c>
      <c r="G42" s="5" t="n">
        <v>46198</v>
      </c>
      <c r="H42" s="5" t="n">
        <v>46213</v>
      </c>
      <c r="I42" s="2" t="n">
        <v>15</v>
      </c>
      <c r="J42" s="2" t="s">
        <v>41</v>
      </c>
      <c r="K42" s="6" t="n">
        <v>33866</v>
      </c>
      <c r="L42" s="2" t="s">
        <v>162</v>
      </c>
      <c r="M42" s="2" t="s">
        <v>271</v>
      </c>
      <c r="N42" s="2" t="s">
        <v>272</v>
      </c>
      <c r="O42" s="7" t="b">
        <f aca="false">TRUE()</f>
        <v>1</v>
      </c>
      <c r="P42" s="2" t="n">
        <v>82</v>
      </c>
      <c r="Q42" s="2" t="s">
        <v>2203</v>
      </c>
      <c r="R42" s="2"/>
    </row>
    <row r="43" customFormat="false" ht="15" hidden="false" customHeight="false" outlineLevel="0" collapsed="false">
      <c r="A43" s="2" t="s">
        <v>253</v>
      </c>
      <c r="B43" s="2" t="s">
        <v>254</v>
      </c>
      <c r="C43" s="2" t="s">
        <v>2213</v>
      </c>
      <c r="D43" s="2" t="s">
        <v>2215</v>
      </c>
      <c r="E43" s="2" t="s">
        <v>273</v>
      </c>
      <c r="F43" s="2" t="s">
        <v>2197</v>
      </c>
      <c r="G43" s="5" t="n">
        <v>46224</v>
      </c>
      <c r="H43" s="5" t="n">
        <v>46254</v>
      </c>
      <c r="I43" s="2" t="n">
        <v>30</v>
      </c>
      <c r="J43" s="2" t="s">
        <v>41</v>
      </c>
      <c r="K43" s="6" t="n">
        <v>52392</v>
      </c>
      <c r="L43" s="2" t="s">
        <v>162</v>
      </c>
      <c r="M43" s="2" t="s">
        <v>279</v>
      </c>
      <c r="N43" s="2" t="s">
        <v>272</v>
      </c>
      <c r="O43" s="7" t="b">
        <f aca="false">TRUE()</f>
        <v>1</v>
      </c>
      <c r="P43" s="2" t="n">
        <v>41</v>
      </c>
      <c r="Q43" s="2" t="s">
        <v>2205</v>
      </c>
      <c r="R43" s="2"/>
    </row>
    <row r="44" customFormat="false" ht="15" hidden="false" customHeight="false" outlineLevel="0" collapsed="false">
      <c r="A44" s="2" t="s">
        <v>253</v>
      </c>
      <c r="B44" s="2" t="s">
        <v>254</v>
      </c>
      <c r="C44" s="2" t="s">
        <v>2213</v>
      </c>
      <c r="D44" s="2" t="s">
        <v>2215</v>
      </c>
      <c r="E44" s="2" t="s">
        <v>288</v>
      </c>
      <c r="F44" s="2" t="s">
        <v>2197</v>
      </c>
      <c r="G44" s="5" t="n">
        <v>46267</v>
      </c>
      <c r="H44" s="5" t="n">
        <v>46312</v>
      </c>
      <c r="I44" s="2" t="n">
        <v>45</v>
      </c>
      <c r="J44" s="2" t="s">
        <v>41</v>
      </c>
      <c r="K44" s="6" t="n">
        <v>48852</v>
      </c>
      <c r="L44" s="2" t="s">
        <v>162</v>
      </c>
      <c r="M44" s="2" t="s">
        <v>291</v>
      </c>
      <c r="N44" s="2"/>
      <c r="O44" s="7" t="b">
        <f aca="false">FALSE()</f>
        <v>0</v>
      </c>
      <c r="P44" s="2" t="n">
        <v>-17</v>
      </c>
      <c r="Q44" s="2" t="s">
        <v>2209</v>
      </c>
      <c r="R44" s="2"/>
    </row>
    <row r="45" customFormat="false" ht="15" hidden="false" customHeight="false" outlineLevel="0" collapsed="false">
      <c r="A45" s="2" t="s">
        <v>253</v>
      </c>
      <c r="B45" s="2" t="s">
        <v>254</v>
      </c>
      <c r="C45" s="2" t="s">
        <v>2213</v>
      </c>
      <c r="D45" s="2" t="s">
        <v>2215</v>
      </c>
      <c r="E45" s="2" t="s">
        <v>280</v>
      </c>
      <c r="F45" s="2" t="s">
        <v>2197</v>
      </c>
      <c r="G45" s="5" t="n">
        <v>46267</v>
      </c>
      <c r="H45" s="5" t="n">
        <v>46312</v>
      </c>
      <c r="I45" s="2" t="n">
        <v>45</v>
      </c>
      <c r="J45" s="2" t="s">
        <v>41</v>
      </c>
      <c r="K45" s="6" t="n">
        <v>148102.33</v>
      </c>
      <c r="L45" s="2" t="s">
        <v>162</v>
      </c>
      <c r="M45" s="2" t="s">
        <v>283</v>
      </c>
      <c r="N45" s="2"/>
      <c r="O45" s="7" t="b">
        <f aca="false">FALSE()</f>
        <v>0</v>
      </c>
      <c r="P45" s="2" t="n">
        <v>-17</v>
      </c>
      <c r="Q45" s="2" t="s">
        <v>2209</v>
      </c>
      <c r="R45" s="2"/>
    </row>
    <row r="46" customFormat="false" ht="15" hidden="false" customHeight="false" outlineLevel="0" collapsed="false">
      <c r="A46" s="2" t="s">
        <v>253</v>
      </c>
      <c r="B46" s="2" t="s">
        <v>254</v>
      </c>
      <c r="C46" s="2" t="s">
        <v>2213</v>
      </c>
      <c r="D46" s="2" t="s">
        <v>2215</v>
      </c>
      <c r="E46" s="2" t="s">
        <v>284</v>
      </c>
      <c r="F46" s="2" t="s">
        <v>2197</v>
      </c>
      <c r="G46" s="5" t="n">
        <v>46282</v>
      </c>
      <c r="H46" s="5" t="n">
        <v>46327</v>
      </c>
      <c r="I46" s="2" t="n">
        <v>45</v>
      </c>
      <c r="J46" s="2" t="s">
        <v>41</v>
      </c>
      <c r="K46" s="6" t="n">
        <v>49560</v>
      </c>
      <c r="L46" s="2" t="s">
        <v>162</v>
      </c>
      <c r="M46" s="2" t="s">
        <v>287</v>
      </c>
      <c r="N46" s="2"/>
      <c r="O46" s="7" t="b">
        <f aca="false">FALSE()</f>
        <v>0</v>
      </c>
      <c r="P46" s="2" t="n">
        <v>-32</v>
      </c>
      <c r="Q46" s="2" t="s">
        <v>2209</v>
      </c>
      <c r="R46" s="2" t="s">
        <v>2208</v>
      </c>
    </row>
    <row r="47" customFormat="false" ht="15" hidden="false" customHeight="false" outlineLevel="0" collapsed="false">
      <c r="A47" s="2" t="s">
        <v>253</v>
      </c>
      <c r="B47" s="2" t="s">
        <v>254</v>
      </c>
      <c r="C47" s="2" t="s">
        <v>2213</v>
      </c>
      <c r="D47" s="2" t="s">
        <v>2215</v>
      </c>
      <c r="E47" s="2" t="s">
        <v>292</v>
      </c>
      <c r="F47" s="2" t="s">
        <v>2197</v>
      </c>
      <c r="G47" s="5" t="n">
        <v>46284</v>
      </c>
      <c r="H47" s="5" t="n">
        <v>46329</v>
      </c>
      <c r="I47" s="2" t="n">
        <v>45</v>
      </c>
      <c r="J47" s="2" t="s">
        <v>41</v>
      </c>
      <c r="K47" s="6" t="n">
        <v>125272.26</v>
      </c>
      <c r="L47" s="2" t="s">
        <v>162</v>
      </c>
      <c r="M47" s="2" t="s">
        <v>296</v>
      </c>
      <c r="N47" s="2"/>
      <c r="O47" s="7" t="b">
        <f aca="false">FALSE()</f>
        <v>0</v>
      </c>
      <c r="P47" s="2" t="n">
        <v>-34</v>
      </c>
      <c r="Q47" s="2" t="s">
        <v>2209</v>
      </c>
      <c r="R47" s="2"/>
    </row>
    <row r="48" customFormat="false" ht="15" hidden="false" customHeight="false" outlineLevel="0" collapsed="false">
      <c r="A48" s="2" t="s">
        <v>253</v>
      </c>
      <c r="B48" s="2" t="s">
        <v>254</v>
      </c>
      <c r="C48" s="2" t="s">
        <v>2213</v>
      </c>
      <c r="D48" s="2" t="s">
        <v>2215</v>
      </c>
      <c r="E48" s="2" t="s">
        <v>303</v>
      </c>
      <c r="F48" s="2" t="s">
        <v>2197</v>
      </c>
      <c r="G48" s="5" t="n">
        <v>46290</v>
      </c>
      <c r="H48" s="5" t="n">
        <v>46335</v>
      </c>
      <c r="I48" s="2" t="n">
        <v>45</v>
      </c>
      <c r="J48" s="2" t="s">
        <v>41</v>
      </c>
      <c r="K48" s="6" t="n">
        <v>65735.53</v>
      </c>
      <c r="L48" s="2" t="s">
        <v>162</v>
      </c>
      <c r="M48" s="2" t="s">
        <v>307</v>
      </c>
      <c r="N48" s="2"/>
      <c r="O48" s="7" t="b">
        <f aca="false">FALSE()</f>
        <v>0</v>
      </c>
      <c r="P48" s="2" t="n">
        <v>-40</v>
      </c>
      <c r="Q48" s="2" t="s">
        <v>2209</v>
      </c>
      <c r="R48" s="2"/>
    </row>
    <row r="49" customFormat="false" ht="15" hidden="false" customHeight="false" outlineLevel="0" collapsed="false">
      <c r="A49" s="2" t="s">
        <v>253</v>
      </c>
      <c r="B49" s="2" t="s">
        <v>254</v>
      </c>
      <c r="C49" s="2" t="s">
        <v>2213</v>
      </c>
      <c r="D49" s="2" t="s">
        <v>2215</v>
      </c>
      <c r="E49" s="2" t="s">
        <v>297</v>
      </c>
      <c r="F49" s="2" t="s">
        <v>2197</v>
      </c>
      <c r="G49" s="5" t="n">
        <v>46292</v>
      </c>
      <c r="H49" s="5" t="n">
        <v>46322</v>
      </c>
      <c r="I49" s="2" t="n">
        <v>30</v>
      </c>
      <c r="J49" s="2" t="s">
        <v>41</v>
      </c>
      <c r="K49" s="6" t="n">
        <v>179664.78</v>
      </c>
      <c r="L49" s="2" t="s">
        <v>162</v>
      </c>
      <c r="M49" s="2" t="s">
        <v>302</v>
      </c>
      <c r="N49" s="2"/>
      <c r="O49" s="7" t="b">
        <f aca="false">FALSE()</f>
        <v>0</v>
      </c>
      <c r="P49" s="2" t="n">
        <v>-27</v>
      </c>
      <c r="Q49" s="2" t="s">
        <v>2209</v>
      </c>
      <c r="R49" s="2"/>
    </row>
    <row r="50" customFormat="false" ht="15" hidden="false" customHeight="false" outlineLevel="0" collapsed="false">
      <c r="A50" s="2" t="s">
        <v>2219</v>
      </c>
      <c r="B50" s="2" t="s">
        <v>310</v>
      </c>
      <c r="C50" s="2" t="s">
        <v>2220</v>
      </c>
      <c r="D50" s="2" t="s">
        <v>2211</v>
      </c>
      <c r="E50" s="2" t="s">
        <v>311</v>
      </c>
      <c r="F50" s="2" t="s">
        <v>2197</v>
      </c>
      <c r="G50" s="5" t="n">
        <v>46041</v>
      </c>
      <c r="H50" s="5" t="n">
        <v>46071</v>
      </c>
      <c r="I50" s="2" t="n">
        <v>30</v>
      </c>
      <c r="J50" s="2" t="s">
        <v>41</v>
      </c>
      <c r="K50" s="6" t="n">
        <v>87438</v>
      </c>
      <c r="L50" s="2" t="s">
        <v>137</v>
      </c>
      <c r="M50" s="2" t="s">
        <v>315</v>
      </c>
      <c r="N50" s="2"/>
      <c r="O50" s="7" t="b">
        <f aca="false">FALSE()</f>
        <v>0</v>
      </c>
      <c r="P50" s="2" t="n">
        <v>224</v>
      </c>
      <c r="Q50" s="2" t="s">
        <v>2198</v>
      </c>
      <c r="R50" s="2"/>
    </row>
    <row r="51" customFormat="false" ht="15" hidden="false" customHeight="false" outlineLevel="0" collapsed="false">
      <c r="A51" s="2" t="s">
        <v>2219</v>
      </c>
      <c r="B51" s="2" t="s">
        <v>310</v>
      </c>
      <c r="C51" s="2" t="s">
        <v>2220</v>
      </c>
      <c r="D51" s="2" t="s">
        <v>2211</v>
      </c>
      <c r="E51" s="2" t="s">
        <v>316</v>
      </c>
      <c r="F51" s="2" t="s">
        <v>2197</v>
      </c>
      <c r="G51" s="5" t="n">
        <v>46062</v>
      </c>
      <c r="H51" s="5" t="n">
        <v>46092</v>
      </c>
      <c r="I51" s="2" t="n">
        <v>30</v>
      </c>
      <c r="J51" s="2" t="s">
        <v>41</v>
      </c>
      <c r="K51" s="6" t="n">
        <v>6844</v>
      </c>
      <c r="L51" s="2" t="s">
        <v>137</v>
      </c>
      <c r="M51" s="2" t="s">
        <v>322</v>
      </c>
      <c r="N51" s="2"/>
      <c r="O51" s="7" t="b">
        <f aca="false">FALSE()</f>
        <v>0</v>
      </c>
      <c r="P51" s="2" t="n">
        <v>203</v>
      </c>
      <c r="Q51" s="2" t="s">
        <v>2198</v>
      </c>
      <c r="R51" s="2"/>
    </row>
    <row r="52" customFormat="false" ht="15" hidden="false" customHeight="false" outlineLevel="0" collapsed="false">
      <c r="A52" s="2" t="s">
        <v>2219</v>
      </c>
      <c r="B52" s="2" t="s">
        <v>310</v>
      </c>
      <c r="C52" s="2" t="s">
        <v>2220</v>
      </c>
      <c r="D52" s="2" t="s">
        <v>2211</v>
      </c>
      <c r="E52" s="2" t="s">
        <v>323</v>
      </c>
      <c r="F52" s="2" t="s">
        <v>2197</v>
      </c>
      <c r="G52" s="5" t="n">
        <v>46169</v>
      </c>
      <c r="H52" s="5" t="n">
        <v>46199</v>
      </c>
      <c r="I52" s="2" t="n">
        <v>30</v>
      </c>
      <c r="J52" s="2" t="s">
        <v>41</v>
      </c>
      <c r="K52" s="6" t="n">
        <v>89798</v>
      </c>
      <c r="L52" s="2" t="s">
        <v>137</v>
      </c>
      <c r="M52" s="2" t="s">
        <v>327</v>
      </c>
      <c r="N52" s="2"/>
      <c r="O52" s="7" t="b">
        <f aca="false">FALSE()</f>
        <v>0</v>
      </c>
      <c r="P52" s="2" t="n">
        <v>96</v>
      </c>
      <c r="Q52" s="2" t="s">
        <v>2201</v>
      </c>
      <c r="R52" s="2"/>
    </row>
    <row r="53" customFormat="false" ht="15" hidden="false" customHeight="false" outlineLevel="0" collapsed="false">
      <c r="A53" s="2" t="s">
        <v>2219</v>
      </c>
      <c r="B53" s="2" t="s">
        <v>310</v>
      </c>
      <c r="C53" s="2" t="s">
        <v>2220</v>
      </c>
      <c r="D53" s="2" t="s">
        <v>2211</v>
      </c>
      <c r="E53" s="2" t="s">
        <v>2221</v>
      </c>
      <c r="F53" s="2" t="s">
        <v>2222</v>
      </c>
      <c r="G53" s="5" t="n">
        <v>46184</v>
      </c>
      <c r="H53" s="5" t="n">
        <v>46184</v>
      </c>
      <c r="I53" s="2" t="n">
        <v>0</v>
      </c>
      <c r="J53" s="2" t="s">
        <v>41</v>
      </c>
      <c r="K53" s="6" t="n">
        <v>-452900</v>
      </c>
      <c r="L53" s="2" t="s">
        <v>137</v>
      </c>
      <c r="M53" s="2"/>
      <c r="N53" s="2"/>
      <c r="O53" s="7" t="b">
        <f aca="false">FALSE()</f>
        <v>0</v>
      </c>
      <c r="P53" s="2" t="n">
        <v>111</v>
      </c>
      <c r="Q53" s="2" t="s">
        <v>2201</v>
      </c>
      <c r="R53" s="2" t="s">
        <v>2223</v>
      </c>
    </row>
    <row r="54" customFormat="false" ht="15" hidden="false" customHeight="false" outlineLevel="0" collapsed="false">
      <c r="A54" s="2" t="s">
        <v>2219</v>
      </c>
      <c r="B54" s="2" t="s">
        <v>310</v>
      </c>
      <c r="C54" s="2" t="s">
        <v>2220</v>
      </c>
      <c r="D54" s="2" t="s">
        <v>2211</v>
      </c>
      <c r="E54" s="2" t="s">
        <v>333</v>
      </c>
      <c r="F54" s="2" t="s">
        <v>2197</v>
      </c>
      <c r="G54" s="5" t="n">
        <v>46226</v>
      </c>
      <c r="H54" s="5" t="n">
        <v>46256</v>
      </c>
      <c r="I54" s="2" t="n">
        <v>30</v>
      </c>
      <c r="J54" s="2" t="s">
        <v>41</v>
      </c>
      <c r="K54" s="6" t="n">
        <v>12238.72</v>
      </c>
      <c r="L54" s="2" t="s">
        <v>137</v>
      </c>
      <c r="M54" s="2" t="s">
        <v>337</v>
      </c>
      <c r="N54" s="2"/>
      <c r="O54" s="7" t="b">
        <f aca="false">FALSE()</f>
        <v>0</v>
      </c>
      <c r="P54" s="2" t="n">
        <v>39</v>
      </c>
      <c r="Q54" s="2" t="s">
        <v>2205</v>
      </c>
      <c r="R54" s="2" t="s">
        <v>2202</v>
      </c>
    </row>
    <row r="55" customFormat="false" ht="15" hidden="false" customHeight="false" outlineLevel="0" collapsed="false">
      <c r="A55" s="2" t="s">
        <v>2219</v>
      </c>
      <c r="B55" s="2" t="s">
        <v>310</v>
      </c>
      <c r="C55" s="2" t="s">
        <v>2220</v>
      </c>
      <c r="D55" s="2" t="s">
        <v>2211</v>
      </c>
      <c r="E55" s="2" t="s">
        <v>343</v>
      </c>
      <c r="F55" s="2" t="s">
        <v>2212</v>
      </c>
      <c r="G55" s="5" t="n">
        <v>46228</v>
      </c>
      <c r="H55" s="5" t="n">
        <v>46228</v>
      </c>
      <c r="I55" s="2" t="n">
        <v>0</v>
      </c>
      <c r="J55" s="2" t="s">
        <v>41</v>
      </c>
      <c r="K55" s="6" t="n">
        <v>-15900</v>
      </c>
      <c r="L55" s="2" t="s">
        <v>137</v>
      </c>
      <c r="M55" s="2"/>
      <c r="N55" s="2"/>
      <c r="O55" s="7" t="b">
        <f aca="false">FALSE()</f>
        <v>0</v>
      </c>
      <c r="P55" s="2" t="n">
        <v>67</v>
      </c>
      <c r="Q55" s="2" t="s">
        <v>2203</v>
      </c>
      <c r="R55" s="2"/>
    </row>
    <row r="56" customFormat="false" ht="15" hidden="false" customHeight="false" outlineLevel="0" collapsed="false">
      <c r="A56" s="2" t="s">
        <v>2219</v>
      </c>
      <c r="B56" s="2" t="s">
        <v>310</v>
      </c>
      <c r="C56" s="2" t="s">
        <v>2220</v>
      </c>
      <c r="D56" s="2" t="s">
        <v>2211</v>
      </c>
      <c r="E56" s="2" t="s">
        <v>338</v>
      </c>
      <c r="F56" s="2" t="s">
        <v>2197</v>
      </c>
      <c r="G56" s="5" t="n">
        <v>46275</v>
      </c>
      <c r="H56" s="5" t="n">
        <v>46305</v>
      </c>
      <c r="I56" s="2" t="n">
        <v>30</v>
      </c>
      <c r="J56" s="2" t="s">
        <v>41</v>
      </c>
      <c r="K56" s="6" t="n">
        <v>35282</v>
      </c>
      <c r="L56" s="2" t="s">
        <v>137</v>
      </c>
      <c r="M56" s="2" t="s">
        <v>342</v>
      </c>
      <c r="N56" s="2"/>
      <c r="O56" s="7" t="b">
        <f aca="false">FALSE()</f>
        <v>0</v>
      </c>
      <c r="P56" s="2" t="n">
        <v>-10</v>
      </c>
      <c r="Q56" s="2" t="s">
        <v>2209</v>
      </c>
      <c r="R56" s="2"/>
    </row>
    <row r="57" customFormat="false" ht="15" hidden="false" customHeight="false" outlineLevel="0" collapsed="false">
      <c r="A57" s="2" t="s">
        <v>2219</v>
      </c>
      <c r="B57" s="2" t="s">
        <v>310</v>
      </c>
      <c r="C57" s="2" t="s">
        <v>2220</v>
      </c>
      <c r="D57" s="2" t="s">
        <v>2211</v>
      </c>
      <c r="E57" s="2" t="s">
        <v>347</v>
      </c>
      <c r="F57" s="2" t="s">
        <v>2197</v>
      </c>
      <c r="G57" s="5" t="n">
        <v>46278</v>
      </c>
      <c r="H57" s="5" t="n">
        <v>46308</v>
      </c>
      <c r="I57" s="2" t="n">
        <v>30</v>
      </c>
      <c r="J57" s="2" t="s">
        <v>41</v>
      </c>
      <c r="K57" s="6" t="n">
        <v>146320</v>
      </c>
      <c r="L57" s="2" t="s">
        <v>162</v>
      </c>
      <c r="M57" s="2" t="s">
        <v>350</v>
      </c>
      <c r="N57" s="2"/>
      <c r="O57" s="7" t="b">
        <f aca="false">FALSE()</f>
        <v>0</v>
      </c>
      <c r="P57" s="2" t="n">
        <v>-13</v>
      </c>
      <c r="Q57" s="2" t="s">
        <v>2209</v>
      </c>
      <c r="R57" s="2" t="s">
        <v>2202</v>
      </c>
    </row>
    <row r="58" customFormat="false" ht="15" hidden="false" customHeight="false" outlineLevel="0" collapsed="false">
      <c r="A58" s="2" t="s">
        <v>2219</v>
      </c>
      <c r="B58" s="2" t="s">
        <v>310</v>
      </c>
      <c r="C58" s="2" t="s">
        <v>2220</v>
      </c>
      <c r="D58" s="2" t="s">
        <v>2211</v>
      </c>
      <c r="E58" s="2" t="s">
        <v>351</v>
      </c>
      <c r="F58" s="2" t="s">
        <v>2197</v>
      </c>
      <c r="G58" s="5" t="n">
        <v>46278</v>
      </c>
      <c r="H58" s="5" t="n">
        <v>46308</v>
      </c>
      <c r="I58" s="2" t="n">
        <v>30</v>
      </c>
      <c r="J58" s="2" t="s">
        <v>41</v>
      </c>
      <c r="K58" s="6" t="n">
        <v>94208</v>
      </c>
      <c r="L58" s="2" t="s">
        <v>2204</v>
      </c>
      <c r="M58" s="2" t="s">
        <v>355</v>
      </c>
      <c r="N58" s="2"/>
      <c r="O58" s="7" t="b">
        <f aca="false">FALSE()</f>
        <v>0</v>
      </c>
      <c r="P58" s="2" t="n">
        <v>-13</v>
      </c>
      <c r="Q58" s="2" t="s">
        <v>2209</v>
      </c>
      <c r="R58" s="2" t="s">
        <v>2200</v>
      </c>
    </row>
    <row r="59" customFormat="false" ht="15" hidden="false" customHeight="false" outlineLevel="0" collapsed="false">
      <c r="A59" s="2" t="s">
        <v>2219</v>
      </c>
      <c r="B59" s="2" t="s">
        <v>310</v>
      </c>
      <c r="C59" s="2" t="s">
        <v>2220</v>
      </c>
      <c r="D59" s="2" t="s">
        <v>2211</v>
      </c>
      <c r="E59" s="2" t="s">
        <v>356</v>
      </c>
      <c r="F59" s="2" t="s">
        <v>2197</v>
      </c>
      <c r="G59" s="5" t="n">
        <v>46294</v>
      </c>
      <c r="H59" s="5" t="n">
        <v>46324</v>
      </c>
      <c r="I59" s="2" t="n">
        <v>30</v>
      </c>
      <c r="J59" s="2" t="s">
        <v>41</v>
      </c>
      <c r="K59" s="6" t="n">
        <v>36693.87</v>
      </c>
      <c r="L59" s="2" t="s">
        <v>137</v>
      </c>
      <c r="M59" s="2" t="s">
        <v>359</v>
      </c>
      <c r="N59" s="2"/>
      <c r="O59" s="7" t="b">
        <f aca="false">FALSE()</f>
        <v>0</v>
      </c>
      <c r="P59" s="2" t="n">
        <v>-29</v>
      </c>
      <c r="Q59" s="2" t="s">
        <v>2209</v>
      </c>
      <c r="R59" s="2"/>
    </row>
    <row r="60" customFormat="false" ht="15" hidden="false" customHeight="false" outlineLevel="0" collapsed="false">
      <c r="A60" s="2" t="s">
        <v>361</v>
      </c>
      <c r="B60" s="2" t="s">
        <v>362</v>
      </c>
      <c r="C60" s="2" t="s">
        <v>2220</v>
      </c>
      <c r="D60" s="2" t="s">
        <v>2224</v>
      </c>
      <c r="E60" s="2" t="s">
        <v>363</v>
      </c>
      <c r="F60" s="2" t="s">
        <v>2197</v>
      </c>
      <c r="G60" s="5" t="n">
        <v>46125</v>
      </c>
      <c r="H60" s="5" t="n">
        <v>46155</v>
      </c>
      <c r="I60" s="2" t="n">
        <v>30</v>
      </c>
      <c r="J60" s="2" t="s">
        <v>41</v>
      </c>
      <c r="K60" s="6" t="n">
        <v>38425.99</v>
      </c>
      <c r="L60" s="2" t="s">
        <v>162</v>
      </c>
      <c r="M60" s="2" t="s">
        <v>367</v>
      </c>
      <c r="N60" s="2"/>
      <c r="O60" s="7" t="b">
        <f aca="false">FALSE()</f>
        <v>0</v>
      </c>
      <c r="P60" s="2" t="n">
        <v>140</v>
      </c>
      <c r="Q60" s="2" t="s">
        <v>2201</v>
      </c>
      <c r="R60" s="2" t="s">
        <v>2208</v>
      </c>
    </row>
    <row r="61" customFormat="false" ht="15" hidden="false" customHeight="false" outlineLevel="0" collapsed="false">
      <c r="A61" s="2" t="s">
        <v>361</v>
      </c>
      <c r="B61" s="2" t="s">
        <v>362</v>
      </c>
      <c r="C61" s="2" t="s">
        <v>2220</v>
      </c>
      <c r="D61" s="2" t="s">
        <v>2224</v>
      </c>
      <c r="E61" s="2" t="s">
        <v>368</v>
      </c>
      <c r="F61" s="2" t="s">
        <v>2197</v>
      </c>
      <c r="G61" s="5" t="n">
        <v>46146</v>
      </c>
      <c r="H61" s="5" t="n">
        <v>46176</v>
      </c>
      <c r="I61" s="2" t="n">
        <v>30</v>
      </c>
      <c r="J61" s="2" t="s">
        <v>41</v>
      </c>
      <c r="K61" s="6" t="n">
        <v>40829.42</v>
      </c>
      <c r="L61" s="2" t="s">
        <v>162</v>
      </c>
      <c r="M61" s="2" t="s">
        <v>372</v>
      </c>
      <c r="N61" s="2"/>
      <c r="O61" s="7" t="b">
        <f aca="false">FALSE()</f>
        <v>0</v>
      </c>
      <c r="P61" s="2" t="n">
        <v>119</v>
      </c>
      <c r="Q61" s="2" t="s">
        <v>2201</v>
      </c>
      <c r="R61" s="2"/>
    </row>
    <row r="62" customFormat="false" ht="15" hidden="false" customHeight="false" outlineLevel="0" collapsed="false">
      <c r="A62" s="2" t="s">
        <v>361</v>
      </c>
      <c r="B62" s="2" t="s">
        <v>362</v>
      </c>
      <c r="C62" s="2" t="s">
        <v>2220</v>
      </c>
      <c r="D62" s="2" t="s">
        <v>2224</v>
      </c>
      <c r="E62" s="2" t="s">
        <v>373</v>
      </c>
      <c r="F62" s="2" t="s">
        <v>2197</v>
      </c>
      <c r="G62" s="5" t="n">
        <v>46194</v>
      </c>
      <c r="H62" s="5" t="n">
        <v>46224</v>
      </c>
      <c r="I62" s="2" t="n">
        <v>30</v>
      </c>
      <c r="J62" s="2" t="s">
        <v>41</v>
      </c>
      <c r="K62" s="6" t="n">
        <v>2950</v>
      </c>
      <c r="L62" s="2" t="s">
        <v>162</v>
      </c>
      <c r="M62" s="2" t="s">
        <v>376</v>
      </c>
      <c r="N62" s="2" t="s">
        <v>377</v>
      </c>
      <c r="O62" s="7" t="b">
        <f aca="false">FALSE()</f>
        <v>0</v>
      </c>
      <c r="P62" s="2" t="n">
        <v>71</v>
      </c>
      <c r="Q62" s="2" t="s">
        <v>2203</v>
      </c>
      <c r="R62" s="2"/>
    </row>
    <row r="63" customFormat="false" ht="15" hidden="false" customHeight="false" outlineLevel="0" collapsed="false">
      <c r="A63" s="2" t="s">
        <v>361</v>
      </c>
      <c r="B63" s="2" t="s">
        <v>362</v>
      </c>
      <c r="C63" s="2" t="s">
        <v>2220</v>
      </c>
      <c r="D63" s="2" t="s">
        <v>2224</v>
      </c>
      <c r="E63" s="2" t="s">
        <v>2225</v>
      </c>
      <c r="F63" s="2" t="s">
        <v>2197</v>
      </c>
      <c r="G63" s="5" t="n">
        <v>46213</v>
      </c>
      <c r="H63" s="5" t="n">
        <v>46243</v>
      </c>
      <c r="I63" s="2" t="n">
        <v>30</v>
      </c>
      <c r="J63" s="2" t="s">
        <v>41</v>
      </c>
      <c r="K63" s="6" t="n">
        <v>140774</v>
      </c>
      <c r="L63" s="2" t="s">
        <v>162</v>
      </c>
      <c r="M63" s="2" t="s">
        <v>380</v>
      </c>
      <c r="N63" s="2"/>
      <c r="O63" s="7" t="b">
        <f aca="false">FALSE()</f>
        <v>0</v>
      </c>
      <c r="P63" s="2" t="n">
        <v>52</v>
      </c>
      <c r="Q63" s="2" t="s">
        <v>2205</v>
      </c>
      <c r="R63" s="2"/>
    </row>
    <row r="64" customFormat="false" ht="15" hidden="false" customHeight="false" outlineLevel="0" collapsed="false">
      <c r="A64" s="2" t="s">
        <v>361</v>
      </c>
      <c r="B64" s="2" t="s">
        <v>362</v>
      </c>
      <c r="C64" s="2" t="s">
        <v>2220</v>
      </c>
      <c r="D64" s="2" t="s">
        <v>2224</v>
      </c>
      <c r="E64" s="2" t="s">
        <v>381</v>
      </c>
      <c r="F64" s="2" t="s">
        <v>2197</v>
      </c>
      <c r="G64" s="5" t="n">
        <v>46237</v>
      </c>
      <c r="H64" s="5" t="n">
        <v>46267</v>
      </c>
      <c r="I64" s="2" t="n">
        <v>30</v>
      </c>
      <c r="J64" s="2" t="s">
        <v>41</v>
      </c>
      <c r="K64" s="6" t="n">
        <v>13334</v>
      </c>
      <c r="L64" s="2" t="s">
        <v>162</v>
      </c>
      <c r="M64" s="2"/>
      <c r="N64" s="2"/>
      <c r="O64" s="7" t="b">
        <f aca="false">FALSE()</f>
        <v>0</v>
      </c>
      <c r="P64" s="2" t="n">
        <v>28</v>
      </c>
      <c r="Q64" s="2" t="s">
        <v>2207</v>
      </c>
      <c r="R64" s="2"/>
    </row>
    <row r="65" customFormat="false" ht="15" hidden="false" customHeight="false" outlineLevel="0" collapsed="false">
      <c r="A65" s="2" t="s">
        <v>361</v>
      </c>
      <c r="B65" s="2" t="s">
        <v>362</v>
      </c>
      <c r="C65" s="2" t="s">
        <v>2220</v>
      </c>
      <c r="D65" s="2" t="s">
        <v>2224</v>
      </c>
      <c r="E65" s="2" t="s">
        <v>384</v>
      </c>
      <c r="F65" s="2" t="s">
        <v>2222</v>
      </c>
      <c r="G65" s="5" t="n">
        <v>46268</v>
      </c>
      <c r="H65" s="5" t="n">
        <v>46268</v>
      </c>
      <c r="I65" s="2" t="n">
        <v>0</v>
      </c>
      <c r="J65" s="2" t="s">
        <v>41</v>
      </c>
      <c r="K65" s="6" t="n">
        <v>-229500</v>
      </c>
      <c r="L65" s="2" t="s">
        <v>162</v>
      </c>
      <c r="M65" s="2" t="s">
        <v>388</v>
      </c>
      <c r="N65" s="2"/>
      <c r="O65" s="7" t="b">
        <f aca="false">FALSE()</f>
        <v>0</v>
      </c>
      <c r="P65" s="2" t="n">
        <v>27</v>
      </c>
      <c r="Q65" s="2" t="s">
        <v>2207</v>
      </c>
      <c r="R65" s="2"/>
    </row>
    <row r="66" customFormat="false" ht="15" hidden="false" customHeight="false" outlineLevel="0" collapsed="false">
      <c r="A66" s="2" t="s">
        <v>361</v>
      </c>
      <c r="B66" s="2" t="s">
        <v>362</v>
      </c>
      <c r="C66" s="2" t="s">
        <v>2220</v>
      </c>
      <c r="D66" s="2" t="s">
        <v>2224</v>
      </c>
      <c r="E66" s="2" t="s">
        <v>389</v>
      </c>
      <c r="F66" s="2" t="s">
        <v>2212</v>
      </c>
      <c r="G66" s="5" t="n">
        <v>46282</v>
      </c>
      <c r="H66" s="5" t="n">
        <v>46282</v>
      </c>
      <c r="I66" s="2" t="n">
        <v>0</v>
      </c>
      <c r="J66" s="2" t="s">
        <v>41</v>
      </c>
      <c r="K66" s="6" t="n">
        <v>-22900</v>
      </c>
      <c r="L66" s="2" t="s">
        <v>162</v>
      </c>
      <c r="M66" s="2" t="s">
        <v>226</v>
      </c>
      <c r="N66" s="2"/>
      <c r="O66" s="7" t="b">
        <f aca="false">FALSE()</f>
        <v>0</v>
      </c>
      <c r="P66" s="2" t="n">
        <v>13</v>
      </c>
      <c r="Q66" s="2" t="s">
        <v>2207</v>
      </c>
      <c r="R66" s="2"/>
    </row>
    <row r="67" customFormat="false" ht="15" hidden="false" customHeight="false" outlineLevel="0" collapsed="false">
      <c r="A67" s="2" t="s">
        <v>361</v>
      </c>
      <c r="B67" s="2" t="s">
        <v>362</v>
      </c>
      <c r="C67" s="2" t="s">
        <v>2220</v>
      </c>
      <c r="D67" s="2" t="s">
        <v>2224</v>
      </c>
      <c r="E67" s="2" t="s">
        <v>391</v>
      </c>
      <c r="F67" s="2" t="s">
        <v>2197</v>
      </c>
      <c r="G67" s="5" t="n">
        <v>46284</v>
      </c>
      <c r="H67" s="5" t="n">
        <v>46314</v>
      </c>
      <c r="I67" s="2" t="n">
        <v>30</v>
      </c>
      <c r="J67" s="2" t="s">
        <v>41</v>
      </c>
      <c r="K67" s="6" t="n">
        <v>53872</v>
      </c>
      <c r="L67" s="2" t="s">
        <v>162</v>
      </c>
      <c r="M67" s="2" t="s">
        <v>395</v>
      </c>
      <c r="N67" s="2" t="s">
        <v>396</v>
      </c>
      <c r="O67" s="7" t="b">
        <f aca="false">FALSE()</f>
        <v>0</v>
      </c>
      <c r="P67" s="2" t="n">
        <v>-19</v>
      </c>
      <c r="Q67" s="2" t="s">
        <v>2209</v>
      </c>
      <c r="R67" s="2"/>
    </row>
    <row r="68" customFormat="false" ht="15" hidden="false" customHeight="false" outlineLevel="0" collapsed="false">
      <c r="A68" s="2" t="s">
        <v>361</v>
      </c>
      <c r="B68" s="2" t="s">
        <v>362</v>
      </c>
      <c r="C68" s="2" t="s">
        <v>2220</v>
      </c>
      <c r="D68" s="2" t="s">
        <v>2224</v>
      </c>
      <c r="E68" s="2" t="s">
        <v>397</v>
      </c>
      <c r="F68" s="2" t="s">
        <v>2197</v>
      </c>
      <c r="G68" s="5" t="n">
        <v>46285</v>
      </c>
      <c r="H68" s="5" t="n">
        <v>46315</v>
      </c>
      <c r="I68" s="2" t="n">
        <v>30</v>
      </c>
      <c r="J68" s="2" t="s">
        <v>41</v>
      </c>
      <c r="K68" s="6" t="n">
        <v>347156</v>
      </c>
      <c r="L68" s="2" t="s">
        <v>2204</v>
      </c>
      <c r="M68" s="2" t="s">
        <v>400</v>
      </c>
      <c r="N68" s="2"/>
      <c r="O68" s="7" t="b">
        <f aca="false">FALSE()</f>
        <v>0</v>
      </c>
      <c r="P68" s="2" t="n">
        <v>-20</v>
      </c>
      <c r="Q68" s="2" t="s">
        <v>2209</v>
      </c>
      <c r="R68" s="2" t="s">
        <v>2208</v>
      </c>
    </row>
    <row r="69" customFormat="false" ht="15" hidden="false" customHeight="false" outlineLevel="0" collapsed="false">
      <c r="A69" s="2" t="s">
        <v>361</v>
      </c>
      <c r="B69" s="2" t="s">
        <v>362</v>
      </c>
      <c r="C69" s="2" t="s">
        <v>2220</v>
      </c>
      <c r="D69" s="2" t="s">
        <v>2224</v>
      </c>
      <c r="E69" s="2" t="s">
        <v>401</v>
      </c>
      <c r="F69" s="2" t="s">
        <v>2197</v>
      </c>
      <c r="G69" s="5" t="n">
        <v>46285</v>
      </c>
      <c r="H69" s="5" t="n">
        <v>46315</v>
      </c>
      <c r="I69" s="2" t="n">
        <v>30</v>
      </c>
      <c r="J69" s="2" t="s">
        <v>41</v>
      </c>
      <c r="K69" s="6" t="n">
        <v>21594</v>
      </c>
      <c r="L69" s="2" t="s">
        <v>162</v>
      </c>
      <c r="M69" s="2"/>
      <c r="N69" s="2"/>
      <c r="O69" s="7" t="b">
        <f aca="false">FALSE()</f>
        <v>0</v>
      </c>
      <c r="P69" s="2" t="n">
        <v>-20</v>
      </c>
      <c r="Q69" s="2" t="s">
        <v>2209</v>
      </c>
      <c r="R69" s="2"/>
    </row>
    <row r="70" customFormat="false" ht="15" hidden="false" customHeight="false" outlineLevel="0" collapsed="false">
      <c r="A70" s="2" t="s">
        <v>361</v>
      </c>
      <c r="B70" s="2" t="s">
        <v>362</v>
      </c>
      <c r="C70" s="2" t="s">
        <v>2220</v>
      </c>
      <c r="D70" s="2" t="s">
        <v>2224</v>
      </c>
      <c r="E70" s="2" t="s">
        <v>405</v>
      </c>
      <c r="F70" s="2" t="s">
        <v>2197</v>
      </c>
      <c r="G70" s="5" t="n">
        <v>46293</v>
      </c>
      <c r="H70" s="5" t="n">
        <v>46323</v>
      </c>
      <c r="I70" s="2" t="n">
        <v>30</v>
      </c>
      <c r="J70" s="2" t="s">
        <v>41</v>
      </c>
      <c r="K70" s="6" t="n">
        <v>34720</v>
      </c>
      <c r="L70" s="2" t="s">
        <v>162</v>
      </c>
      <c r="M70" s="2" t="s">
        <v>409</v>
      </c>
      <c r="N70" s="2"/>
      <c r="O70" s="7" t="b">
        <f aca="false">FALSE()</f>
        <v>0</v>
      </c>
      <c r="P70" s="2" t="n">
        <v>-28</v>
      </c>
      <c r="Q70" s="2" t="s">
        <v>2209</v>
      </c>
      <c r="R70" s="2"/>
    </row>
    <row r="71" customFormat="false" ht="15" hidden="false" customHeight="false" outlineLevel="0" collapsed="false">
      <c r="A71" s="2" t="s">
        <v>411</v>
      </c>
      <c r="B71" s="2" t="s">
        <v>412</v>
      </c>
      <c r="C71" s="2" t="s">
        <v>2226</v>
      </c>
      <c r="D71" s="2" t="s">
        <v>2227</v>
      </c>
      <c r="E71" s="2" t="s">
        <v>413</v>
      </c>
      <c r="F71" s="2" t="s">
        <v>2197</v>
      </c>
      <c r="G71" s="5" t="n">
        <v>46086</v>
      </c>
      <c r="H71" s="5" t="n">
        <v>46146</v>
      </c>
      <c r="I71" s="2" t="n">
        <v>60</v>
      </c>
      <c r="J71" s="2" t="s">
        <v>416</v>
      </c>
      <c r="K71" s="6" t="n">
        <v>21306.14</v>
      </c>
      <c r="L71" s="2" t="s">
        <v>43</v>
      </c>
      <c r="M71" s="2" t="s">
        <v>418</v>
      </c>
      <c r="N71" s="2" t="s">
        <v>419</v>
      </c>
      <c r="O71" s="7" t="b">
        <f aca="false">FALSE()</f>
        <v>0</v>
      </c>
      <c r="P71" s="2" t="n">
        <v>149</v>
      </c>
      <c r="Q71" s="2" t="s">
        <v>2201</v>
      </c>
      <c r="R71" s="2"/>
    </row>
    <row r="72" customFormat="false" ht="15" hidden="false" customHeight="false" outlineLevel="0" collapsed="false">
      <c r="A72" s="2" t="s">
        <v>411</v>
      </c>
      <c r="B72" s="2" t="s">
        <v>412</v>
      </c>
      <c r="C72" s="2" t="s">
        <v>2226</v>
      </c>
      <c r="D72" s="2" t="s">
        <v>2227</v>
      </c>
      <c r="E72" s="2" t="s">
        <v>420</v>
      </c>
      <c r="F72" s="2" t="s">
        <v>2197</v>
      </c>
      <c r="G72" s="5" t="n">
        <v>46104</v>
      </c>
      <c r="H72" s="5" t="n">
        <v>46164</v>
      </c>
      <c r="I72" s="2" t="n">
        <v>60</v>
      </c>
      <c r="J72" s="2" t="s">
        <v>416</v>
      </c>
      <c r="K72" s="6" t="n">
        <v>2550</v>
      </c>
      <c r="L72" s="2" t="s">
        <v>43</v>
      </c>
      <c r="M72" s="2" t="s">
        <v>425</v>
      </c>
      <c r="N72" s="2"/>
      <c r="O72" s="7" t="b">
        <f aca="false">FALSE()</f>
        <v>0</v>
      </c>
      <c r="P72" s="2" t="n">
        <v>131</v>
      </c>
      <c r="Q72" s="2" t="s">
        <v>2201</v>
      </c>
      <c r="R72" s="2"/>
    </row>
    <row r="73" customFormat="false" ht="15" hidden="false" customHeight="false" outlineLevel="0" collapsed="false">
      <c r="A73" s="2" t="s">
        <v>411</v>
      </c>
      <c r="B73" s="2" t="s">
        <v>412</v>
      </c>
      <c r="C73" s="2" t="s">
        <v>2226</v>
      </c>
      <c r="D73" s="2" t="s">
        <v>2227</v>
      </c>
      <c r="E73" s="2" t="s">
        <v>426</v>
      </c>
      <c r="F73" s="2" t="s">
        <v>2197</v>
      </c>
      <c r="G73" s="5" t="n">
        <v>46276</v>
      </c>
      <c r="H73" s="5" t="n">
        <v>46336</v>
      </c>
      <c r="I73" s="2" t="n">
        <v>60</v>
      </c>
      <c r="J73" s="2" t="s">
        <v>416</v>
      </c>
      <c r="K73" s="6" t="n">
        <v>712.33</v>
      </c>
      <c r="L73" s="2" t="s">
        <v>43</v>
      </c>
      <c r="M73" s="2" t="s">
        <v>430</v>
      </c>
      <c r="N73" s="2"/>
      <c r="O73" s="7" t="b">
        <f aca="false">FALSE()</f>
        <v>0</v>
      </c>
      <c r="P73" s="2" t="n">
        <v>-41</v>
      </c>
      <c r="Q73" s="2" t="s">
        <v>2209</v>
      </c>
      <c r="R73" s="2"/>
    </row>
    <row r="74" customFormat="false" ht="15" hidden="false" customHeight="false" outlineLevel="0" collapsed="false">
      <c r="A74" s="2" t="s">
        <v>411</v>
      </c>
      <c r="B74" s="2" t="s">
        <v>412</v>
      </c>
      <c r="C74" s="2" t="s">
        <v>2226</v>
      </c>
      <c r="D74" s="2" t="s">
        <v>2227</v>
      </c>
      <c r="E74" s="2" t="s">
        <v>431</v>
      </c>
      <c r="F74" s="2" t="s">
        <v>2197</v>
      </c>
      <c r="G74" s="5" t="n">
        <v>46277</v>
      </c>
      <c r="H74" s="5" t="n">
        <v>46337</v>
      </c>
      <c r="I74" s="2" t="n">
        <v>60</v>
      </c>
      <c r="J74" s="2" t="s">
        <v>416</v>
      </c>
      <c r="K74" s="6" t="n">
        <v>5318.67</v>
      </c>
      <c r="L74" s="2" t="s">
        <v>43</v>
      </c>
      <c r="M74" s="2"/>
      <c r="N74" s="2"/>
      <c r="O74" s="7" t="b">
        <f aca="false">FALSE()</f>
        <v>0</v>
      </c>
      <c r="P74" s="2" t="n">
        <v>-42</v>
      </c>
      <c r="Q74" s="2" t="s">
        <v>2209</v>
      </c>
      <c r="R74" s="2"/>
    </row>
    <row r="75" customFormat="false" ht="15" hidden="false" customHeight="false" outlineLevel="0" collapsed="false">
      <c r="A75" s="2" t="s">
        <v>464</v>
      </c>
      <c r="B75" s="2" t="s">
        <v>2228</v>
      </c>
      <c r="C75" s="2" t="s">
        <v>2229</v>
      </c>
      <c r="D75" s="2" t="s">
        <v>2215</v>
      </c>
      <c r="E75" s="2" t="s">
        <v>438</v>
      </c>
      <c r="F75" s="2" t="s">
        <v>2197</v>
      </c>
      <c r="G75" s="5" t="n">
        <v>45895</v>
      </c>
      <c r="H75" s="5" t="n">
        <v>45955</v>
      </c>
      <c r="I75" s="2" t="n">
        <v>60</v>
      </c>
      <c r="J75" s="2" t="s">
        <v>41</v>
      </c>
      <c r="K75" s="6" t="n">
        <v>102306</v>
      </c>
      <c r="L75" s="2" t="s">
        <v>137</v>
      </c>
      <c r="M75" s="2" t="s">
        <v>444</v>
      </c>
      <c r="N75" s="2"/>
      <c r="O75" s="7" t="b">
        <f aca="false">FALSE()</f>
        <v>0</v>
      </c>
      <c r="P75" s="2" t="n">
        <v>340</v>
      </c>
      <c r="Q75" s="2" t="s">
        <v>2198</v>
      </c>
      <c r="R75" s="2"/>
    </row>
    <row r="76" customFormat="false" ht="15" hidden="false" customHeight="false" outlineLevel="0" collapsed="false">
      <c r="A76" s="2" t="s">
        <v>464</v>
      </c>
      <c r="B76" s="2" t="s">
        <v>2228</v>
      </c>
      <c r="C76" s="2" t="s">
        <v>2229</v>
      </c>
      <c r="D76" s="2" t="s">
        <v>2215</v>
      </c>
      <c r="E76" s="2" t="s">
        <v>445</v>
      </c>
      <c r="F76" s="2" t="s">
        <v>2197</v>
      </c>
      <c r="G76" s="5" t="n">
        <v>45968</v>
      </c>
      <c r="H76" s="5" t="n">
        <v>46028</v>
      </c>
      <c r="I76" s="2" t="n">
        <v>60</v>
      </c>
      <c r="J76" s="2" t="s">
        <v>41</v>
      </c>
      <c r="K76" s="6" t="n">
        <v>174640</v>
      </c>
      <c r="L76" s="2" t="s">
        <v>137</v>
      </c>
      <c r="M76" s="2" t="s">
        <v>449</v>
      </c>
      <c r="N76" s="2"/>
      <c r="O76" s="7" t="b">
        <f aca="false">FALSE()</f>
        <v>0</v>
      </c>
      <c r="P76" s="2" t="n">
        <v>267</v>
      </c>
      <c r="Q76" s="2" t="s">
        <v>2198</v>
      </c>
      <c r="R76" s="2"/>
    </row>
    <row r="77" customFormat="false" ht="15" hidden="false" customHeight="false" outlineLevel="0" collapsed="false">
      <c r="A77" s="2" t="s">
        <v>464</v>
      </c>
      <c r="B77" s="2" t="s">
        <v>2228</v>
      </c>
      <c r="C77" s="2" t="s">
        <v>2229</v>
      </c>
      <c r="D77" s="2" t="s">
        <v>2215</v>
      </c>
      <c r="E77" s="2" t="s">
        <v>450</v>
      </c>
      <c r="F77" s="2" t="s">
        <v>2212</v>
      </c>
      <c r="G77" s="5" t="n">
        <v>46022</v>
      </c>
      <c r="H77" s="5" t="n">
        <v>46022</v>
      </c>
      <c r="I77" s="2" t="n">
        <v>0</v>
      </c>
      <c r="J77" s="2" t="s">
        <v>41</v>
      </c>
      <c r="K77" s="6" t="n">
        <v>-46479.44</v>
      </c>
      <c r="L77" s="2" t="s">
        <v>137</v>
      </c>
      <c r="M77" s="2"/>
      <c r="N77" s="2"/>
      <c r="O77" s="7" t="b">
        <f aca="false">FALSE()</f>
        <v>0</v>
      </c>
      <c r="P77" s="2" t="n">
        <v>273</v>
      </c>
      <c r="Q77" s="2" t="s">
        <v>2198</v>
      </c>
      <c r="R77" s="2"/>
    </row>
    <row r="78" customFormat="false" ht="15" hidden="false" customHeight="false" outlineLevel="0" collapsed="false">
      <c r="A78" s="2" t="s">
        <v>464</v>
      </c>
      <c r="B78" s="2" t="s">
        <v>2228</v>
      </c>
      <c r="C78" s="2" t="s">
        <v>2229</v>
      </c>
      <c r="D78" s="2" t="s">
        <v>2215</v>
      </c>
      <c r="E78" s="2" t="s">
        <v>453</v>
      </c>
      <c r="F78" s="2" t="s">
        <v>2197</v>
      </c>
      <c r="G78" s="5" t="n">
        <v>46032</v>
      </c>
      <c r="H78" s="5" t="n">
        <v>46092</v>
      </c>
      <c r="I78" s="2" t="n">
        <v>60</v>
      </c>
      <c r="J78" s="2" t="s">
        <v>41</v>
      </c>
      <c r="K78" s="6" t="n">
        <v>52015.24</v>
      </c>
      <c r="L78" s="2" t="s">
        <v>137</v>
      </c>
      <c r="M78" s="2" t="s">
        <v>456</v>
      </c>
      <c r="N78" s="2"/>
      <c r="O78" s="7" t="b">
        <f aca="false">FALSE()</f>
        <v>0</v>
      </c>
      <c r="P78" s="2" t="n">
        <v>203</v>
      </c>
      <c r="Q78" s="2" t="s">
        <v>2198</v>
      </c>
      <c r="R78" s="2"/>
    </row>
    <row r="79" customFormat="false" ht="15" hidden="false" customHeight="false" outlineLevel="0" collapsed="false">
      <c r="A79" s="2" t="s">
        <v>464</v>
      </c>
      <c r="B79" s="2" t="s">
        <v>2228</v>
      </c>
      <c r="C79" s="2" t="s">
        <v>2229</v>
      </c>
      <c r="D79" s="2" t="s">
        <v>2215</v>
      </c>
      <c r="E79" s="2" t="s">
        <v>2230</v>
      </c>
      <c r="F79" s="2" t="s">
        <v>2197</v>
      </c>
      <c r="G79" s="5" t="n">
        <v>46142</v>
      </c>
      <c r="H79" s="5" t="n">
        <v>46202</v>
      </c>
      <c r="I79" s="2" t="n">
        <v>60</v>
      </c>
      <c r="J79" s="2" t="s">
        <v>41</v>
      </c>
      <c r="K79" s="6" t="n">
        <v>179043.32</v>
      </c>
      <c r="L79" s="2" t="s">
        <v>137</v>
      </c>
      <c r="M79" s="2" t="s">
        <v>461</v>
      </c>
      <c r="N79" s="2" t="s">
        <v>462</v>
      </c>
      <c r="O79" s="7" t="b">
        <f aca="false">FALSE()</f>
        <v>0</v>
      </c>
      <c r="P79" s="2" t="n">
        <v>93</v>
      </c>
      <c r="Q79" s="2" t="s">
        <v>2201</v>
      </c>
      <c r="R79" s="2"/>
    </row>
    <row r="80" customFormat="false" ht="15" hidden="false" customHeight="false" outlineLevel="0" collapsed="false">
      <c r="A80" s="2" t="s">
        <v>464</v>
      </c>
      <c r="B80" s="2" t="s">
        <v>2228</v>
      </c>
      <c r="C80" s="2" t="s">
        <v>2229</v>
      </c>
      <c r="D80" s="2" t="s">
        <v>2215</v>
      </c>
      <c r="E80" s="2" t="s">
        <v>465</v>
      </c>
      <c r="F80" s="2" t="s">
        <v>2197</v>
      </c>
      <c r="G80" s="5" t="n">
        <v>46142</v>
      </c>
      <c r="H80" s="5" t="n">
        <v>46202</v>
      </c>
      <c r="I80" s="2" t="n">
        <v>60</v>
      </c>
      <c r="J80" s="2" t="s">
        <v>41</v>
      </c>
      <c r="K80" s="6" t="n">
        <v>784464</v>
      </c>
      <c r="L80" s="2" t="s">
        <v>137</v>
      </c>
      <c r="M80" s="2" t="s">
        <v>467</v>
      </c>
      <c r="N80" s="2"/>
      <c r="O80" s="7" t="b">
        <f aca="false">FALSE()</f>
        <v>0</v>
      </c>
      <c r="P80" s="2" t="n">
        <v>93</v>
      </c>
      <c r="Q80" s="2" t="s">
        <v>2201</v>
      </c>
      <c r="R80" s="2"/>
    </row>
    <row r="81" customFormat="false" ht="15" hidden="false" customHeight="false" outlineLevel="0" collapsed="false">
      <c r="A81" s="2" t="s">
        <v>464</v>
      </c>
      <c r="B81" s="2" t="s">
        <v>2228</v>
      </c>
      <c r="C81" s="2" t="s">
        <v>2229</v>
      </c>
      <c r="D81" s="2" t="s">
        <v>2215</v>
      </c>
      <c r="E81" s="2" t="s">
        <v>2231</v>
      </c>
      <c r="F81" s="2" t="s">
        <v>2197</v>
      </c>
      <c r="G81" s="5" t="n">
        <v>46177</v>
      </c>
      <c r="H81" s="5" t="n">
        <v>46237</v>
      </c>
      <c r="I81" s="2" t="n">
        <v>60</v>
      </c>
      <c r="J81" s="2" t="s">
        <v>41</v>
      </c>
      <c r="K81" s="6" t="n">
        <v>8459.57</v>
      </c>
      <c r="L81" s="2" t="s">
        <v>137</v>
      </c>
      <c r="M81" s="2" t="s">
        <v>471</v>
      </c>
      <c r="N81" s="2"/>
      <c r="O81" s="7" t="b">
        <f aca="false">FALSE()</f>
        <v>0</v>
      </c>
      <c r="P81" s="2" t="n">
        <v>58</v>
      </c>
      <c r="Q81" s="2" t="s">
        <v>2205</v>
      </c>
      <c r="R81" s="2"/>
    </row>
    <row r="82" customFormat="false" ht="15" hidden="false" customHeight="false" outlineLevel="0" collapsed="false">
      <c r="A82" s="2" t="s">
        <v>464</v>
      </c>
      <c r="B82" s="2" t="s">
        <v>2228</v>
      </c>
      <c r="C82" s="2" t="s">
        <v>2229</v>
      </c>
      <c r="D82" s="2" t="s">
        <v>2215</v>
      </c>
      <c r="E82" s="2" t="s">
        <v>472</v>
      </c>
      <c r="F82" s="2" t="s">
        <v>2197</v>
      </c>
      <c r="G82" s="5" t="n">
        <v>46183</v>
      </c>
      <c r="H82" s="5" t="n">
        <v>46243</v>
      </c>
      <c r="I82" s="2" t="n">
        <v>60</v>
      </c>
      <c r="J82" s="2" t="s">
        <v>41</v>
      </c>
      <c r="K82" s="6" t="n">
        <v>174720</v>
      </c>
      <c r="L82" s="2" t="s">
        <v>137</v>
      </c>
      <c r="M82" s="2" t="s">
        <v>475</v>
      </c>
      <c r="N82" s="2"/>
      <c r="O82" s="7" t="b">
        <f aca="false">FALSE()</f>
        <v>0</v>
      </c>
      <c r="P82" s="2" t="n">
        <v>52</v>
      </c>
      <c r="Q82" s="2" t="s">
        <v>2205</v>
      </c>
      <c r="R82" s="2"/>
    </row>
    <row r="83" customFormat="false" ht="15" hidden="false" customHeight="false" outlineLevel="0" collapsed="false">
      <c r="A83" s="2" t="s">
        <v>464</v>
      </c>
      <c r="B83" s="2" t="s">
        <v>2228</v>
      </c>
      <c r="C83" s="2" t="s">
        <v>2229</v>
      </c>
      <c r="D83" s="2" t="s">
        <v>2215</v>
      </c>
      <c r="E83" s="2" t="s">
        <v>476</v>
      </c>
      <c r="F83" s="2" t="s">
        <v>2197</v>
      </c>
      <c r="G83" s="5" t="n">
        <v>46248</v>
      </c>
      <c r="H83" s="5" t="n">
        <v>46308</v>
      </c>
      <c r="I83" s="2" t="n">
        <v>60</v>
      </c>
      <c r="J83" s="2" t="s">
        <v>41</v>
      </c>
      <c r="K83" s="6" t="n">
        <v>89600</v>
      </c>
      <c r="L83" s="2" t="s">
        <v>137</v>
      </c>
      <c r="M83" s="2" t="s">
        <v>480</v>
      </c>
      <c r="N83" s="2"/>
      <c r="O83" s="7" t="b">
        <f aca="false">FALSE()</f>
        <v>0</v>
      </c>
      <c r="P83" s="2" t="n">
        <v>-13</v>
      </c>
      <c r="Q83" s="2" t="s">
        <v>2209</v>
      </c>
      <c r="R83" s="2"/>
    </row>
    <row r="84" customFormat="false" ht="15" hidden="false" customHeight="false" outlineLevel="0" collapsed="false">
      <c r="A84" s="2" t="s">
        <v>464</v>
      </c>
      <c r="B84" s="2" t="s">
        <v>2228</v>
      </c>
      <c r="C84" s="2" t="s">
        <v>2229</v>
      </c>
      <c r="D84" s="2" t="s">
        <v>2215</v>
      </c>
      <c r="E84" s="2" t="s">
        <v>481</v>
      </c>
      <c r="F84" s="2" t="s">
        <v>2206</v>
      </c>
      <c r="G84" s="5" t="n">
        <v>46265</v>
      </c>
      <c r="H84" s="5" t="n">
        <v>46325</v>
      </c>
      <c r="I84" s="2" t="n">
        <v>60</v>
      </c>
      <c r="J84" s="2" t="s">
        <v>41</v>
      </c>
      <c r="K84" s="6" t="n">
        <v>16690</v>
      </c>
      <c r="L84" s="2" t="s">
        <v>137</v>
      </c>
      <c r="M84" s="2" t="s">
        <v>485</v>
      </c>
      <c r="N84" s="2" t="s">
        <v>377</v>
      </c>
      <c r="O84" s="7" t="b">
        <f aca="false">FALSE()</f>
        <v>0</v>
      </c>
      <c r="P84" s="2" t="n">
        <v>-30</v>
      </c>
      <c r="Q84" s="2" t="s">
        <v>2209</v>
      </c>
      <c r="R84" s="2"/>
    </row>
    <row r="85" customFormat="false" ht="15" hidden="false" customHeight="false" outlineLevel="0" collapsed="false">
      <c r="A85" s="2" t="s">
        <v>464</v>
      </c>
      <c r="B85" s="2" t="s">
        <v>2228</v>
      </c>
      <c r="C85" s="2" t="s">
        <v>2229</v>
      </c>
      <c r="D85" s="2" t="s">
        <v>2215</v>
      </c>
      <c r="E85" s="2" t="s">
        <v>486</v>
      </c>
      <c r="F85" s="2" t="s">
        <v>2197</v>
      </c>
      <c r="G85" s="5" t="n">
        <v>46290</v>
      </c>
      <c r="H85" s="5" t="n">
        <v>46350</v>
      </c>
      <c r="I85" s="2" t="n">
        <v>60</v>
      </c>
      <c r="J85" s="2" t="s">
        <v>41</v>
      </c>
      <c r="K85" s="6" t="n">
        <v>114393.66</v>
      </c>
      <c r="L85" s="2" t="s">
        <v>502</v>
      </c>
      <c r="M85" s="2" t="s">
        <v>490</v>
      </c>
      <c r="N85" s="2"/>
      <c r="O85" s="7" t="b">
        <f aca="false">FALSE()</f>
        <v>0</v>
      </c>
      <c r="P85" s="2" t="n">
        <v>-55</v>
      </c>
      <c r="Q85" s="2" t="s">
        <v>2209</v>
      </c>
      <c r="R85" s="2"/>
    </row>
    <row r="86" customFormat="false" ht="15" hidden="false" customHeight="false" outlineLevel="0" collapsed="false">
      <c r="A86" s="2" t="s">
        <v>492</v>
      </c>
      <c r="B86" s="2" t="s">
        <v>493</v>
      </c>
      <c r="C86" s="2" t="s">
        <v>2220</v>
      </c>
      <c r="D86" s="2" t="s">
        <v>2211</v>
      </c>
      <c r="E86" s="2" t="s">
        <v>494</v>
      </c>
      <c r="F86" s="2" t="s">
        <v>2197</v>
      </c>
      <c r="G86" s="5" t="n">
        <v>46092</v>
      </c>
      <c r="H86" s="5" t="n">
        <v>46122</v>
      </c>
      <c r="I86" s="2" t="n">
        <v>30</v>
      </c>
      <c r="J86" s="2" t="s">
        <v>41</v>
      </c>
      <c r="K86" s="6" t="n">
        <v>105492</v>
      </c>
      <c r="L86" s="2" t="s">
        <v>162</v>
      </c>
      <c r="M86" s="2" t="s">
        <v>497</v>
      </c>
      <c r="N86" s="2"/>
      <c r="O86" s="7" t="b">
        <f aca="false">FALSE()</f>
        <v>0</v>
      </c>
      <c r="P86" s="2" t="n">
        <v>173</v>
      </c>
      <c r="Q86" s="2" t="s">
        <v>2201</v>
      </c>
      <c r="R86" s="2"/>
    </row>
    <row r="87" customFormat="false" ht="15" hidden="false" customHeight="false" outlineLevel="0" collapsed="false">
      <c r="A87" s="2" t="s">
        <v>492</v>
      </c>
      <c r="B87" s="2" t="s">
        <v>493</v>
      </c>
      <c r="C87" s="2" t="s">
        <v>2220</v>
      </c>
      <c r="D87" s="2" t="s">
        <v>2211</v>
      </c>
      <c r="E87" s="2" t="s">
        <v>498</v>
      </c>
      <c r="F87" s="2" t="s">
        <v>2197</v>
      </c>
      <c r="G87" s="5" t="n">
        <v>46123</v>
      </c>
      <c r="H87" s="5" t="n">
        <v>46153</v>
      </c>
      <c r="I87" s="2" t="n">
        <v>30</v>
      </c>
      <c r="J87" s="2" t="s">
        <v>41</v>
      </c>
      <c r="K87" s="6" t="n">
        <v>108088</v>
      </c>
      <c r="L87" s="2" t="s">
        <v>502</v>
      </c>
      <c r="M87" s="2"/>
      <c r="N87" s="2"/>
      <c r="O87" s="7" t="b">
        <f aca="false">FALSE()</f>
        <v>0</v>
      </c>
      <c r="P87" s="2" t="n">
        <v>142</v>
      </c>
      <c r="Q87" s="2" t="s">
        <v>2201</v>
      </c>
      <c r="R87" s="2"/>
    </row>
    <row r="88" customFormat="false" ht="15" hidden="false" customHeight="false" outlineLevel="0" collapsed="false">
      <c r="A88" s="2" t="s">
        <v>492</v>
      </c>
      <c r="B88" s="2" t="s">
        <v>493</v>
      </c>
      <c r="C88" s="2" t="s">
        <v>2220</v>
      </c>
      <c r="D88" s="2" t="s">
        <v>2211</v>
      </c>
      <c r="E88" s="2" t="s">
        <v>503</v>
      </c>
      <c r="F88" s="2" t="s">
        <v>2197</v>
      </c>
      <c r="G88" s="5" t="n">
        <v>46159</v>
      </c>
      <c r="H88" s="5" t="n">
        <v>46189</v>
      </c>
      <c r="I88" s="2" t="n">
        <v>30</v>
      </c>
      <c r="J88" s="2" t="s">
        <v>41</v>
      </c>
      <c r="K88" s="6" t="n">
        <v>23180.76</v>
      </c>
      <c r="L88" s="2" t="s">
        <v>502</v>
      </c>
      <c r="M88" s="2"/>
      <c r="N88" s="2"/>
      <c r="O88" s="7" t="b">
        <f aca="false">FALSE()</f>
        <v>0</v>
      </c>
      <c r="P88" s="2" t="n">
        <v>106</v>
      </c>
      <c r="Q88" s="2" t="s">
        <v>2201</v>
      </c>
      <c r="R88" s="2"/>
    </row>
    <row r="89" customFormat="false" ht="15" hidden="false" customHeight="false" outlineLevel="0" collapsed="false">
      <c r="A89" s="2" t="s">
        <v>492</v>
      </c>
      <c r="B89" s="2" t="s">
        <v>493</v>
      </c>
      <c r="C89" s="2" t="s">
        <v>2220</v>
      </c>
      <c r="D89" s="2" t="s">
        <v>2211</v>
      </c>
      <c r="E89" s="2" t="s">
        <v>507</v>
      </c>
      <c r="F89" s="2" t="s">
        <v>2197</v>
      </c>
      <c r="G89" s="5" t="n">
        <v>46220</v>
      </c>
      <c r="H89" s="5" t="n">
        <v>46250</v>
      </c>
      <c r="I89" s="2" t="n">
        <v>30</v>
      </c>
      <c r="J89" s="2" t="s">
        <v>41</v>
      </c>
      <c r="K89" s="6" t="n">
        <v>50740</v>
      </c>
      <c r="L89" s="2" t="s">
        <v>502</v>
      </c>
      <c r="M89" s="2" t="s">
        <v>510</v>
      </c>
      <c r="N89" s="2"/>
      <c r="O89" s="7" t="b">
        <f aca="false">FALSE()</f>
        <v>0</v>
      </c>
      <c r="P89" s="2" t="n">
        <v>45</v>
      </c>
      <c r="Q89" s="2" t="s">
        <v>2205</v>
      </c>
      <c r="R89" s="2"/>
    </row>
    <row r="90" customFormat="false" ht="15" hidden="false" customHeight="false" outlineLevel="0" collapsed="false">
      <c r="A90" s="2" t="s">
        <v>492</v>
      </c>
      <c r="B90" s="2" t="s">
        <v>493</v>
      </c>
      <c r="C90" s="2" t="s">
        <v>2220</v>
      </c>
      <c r="D90" s="2" t="s">
        <v>2211</v>
      </c>
      <c r="E90" s="2" t="s">
        <v>511</v>
      </c>
      <c r="F90" s="2" t="s">
        <v>2197</v>
      </c>
      <c r="G90" s="5" t="n">
        <v>46223</v>
      </c>
      <c r="H90" s="5" t="n">
        <v>46268</v>
      </c>
      <c r="I90" s="2" t="n">
        <v>45</v>
      </c>
      <c r="J90" s="2" t="s">
        <v>41</v>
      </c>
      <c r="K90" s="6" t="n">
        <v>37237.34</v>
      </c>
      <c r="L90" s="2" t="s">
        <v>502</v>
      </c>
      <c r="M90" s="2" t="s">
        <v>513</v>
      </c>
      <c r="N90" s="2"/>
      <c r="O90" s="7" t="b">
        <f aca="false">FALSE()</f>
        <v>0</v>
      </c>
      <c r="P90" s="2" t="n">
        <v>27</v>
      </c>
      <c r="Q90" s="2" t="s">
        <v>2207</v>
      </c>
      <c r="R90" s="2"/>
    </row>
    <row r="91" customFormat="false" ht="15" hidden="false" customHeight="false" outlineLevel="0" collapsed="false">
      <c r="A91" s="2" t="s">
        <v>515</v>
      </c>
      <c r="B91" s="2" t="s">
        <v>516</v>
      </c>
      <c r="C91" s="2" t="s">
        <v>2195</v>
      </c>
      <c r="D91" s="2" t="s">
        <v>2224</v>
      </c>
      <c r="E91" s="2" t="s">
        <v>522</v>
      </c>
      <c r="F91" s="2" t="s">
        <v>2197</v>
      </c>
      <c r="G91" s="5" t="n">
        <v>45758</v>
      </c>
      <c r="H91" s="5" t="n">
        <v>45803</v>
      </c>
      <c r="I91" s="2" t="n">
        <v>45</v>
      </c>
      <c r="J91" s="2" t="s">
        <v>41</v>
      </c>
      <c r="K91" s="6" t="n">
        <v>56981.72</v>
      </c>
      <c r="L91" s="2" t="s">
        <v>137</v>
      </c>
      <c r="M91" s="2" t="s">
        <v>526</v>
      </c>
      <c r="N91" s="2"/>
      <c r="O91" s="7" t="b">
        <f aca="false">FALSE()</f>
        <v>0</v>
      </c>
      <c r="P91" s="2" t="n">
        <v>492</v>
      </c>
      <c r="Q91" s="2" t="s">
        <v>2198</v>
      </c>
      <c r="R91" s="2"/>
    </row>
    <row r="92" customFormat="false" ht="15" hidden="false" customHeight="false" outlineLevel="0" collapsed="false">
      <c r="A92" s="2" t="s">
        <v>515</v>
      </c>
      <c r="B92" s="2" t="s">
        <v>516</v>
      </c>
      <c r="C92" s="2" t="s">
        <v>2195</v>
      </c>
      <c r="D92" s="2" t="s">
        <v>2224</v>
      </c>
      <c r="E92" s="2" t="s">
        <v>517</v>
      </c>
      <c r="F92" s="2" t="s">
        <v>2197</v>
      </c>
      <c r="G92" s="5" t="n">
        <v>45927</v>
      </c>
      <c r="H92" s="5" t="n">
        <v>45972</v>
      </c>
      <c r="I92" s="2" t="n">
        <v>45</v>
      </c>
      <c r="J92" s="2" t="s">
        <v>41</v>
      </c>
      <c r="K92" s="6" t="n">
        <v>108796</v>
      </c>
      <c r="L92" s="2" t="s">
        <v>137</v>
      </c>
      <c r="M92" s="2" t="s">
        <v>521</v>
      </c>
      <c r="N92" s="2"/>
      <c r="O92" s="7" t="b">
        <f aca="false">FALSE()</f>
        <v>0</v>
      </c>
      <c r="P92" s="2" t="n">
        <v>323</v>
      </c>
      <c r="Q92" s="2" t="s">
        <v>2198</v>
      </c>
      <c r="R92" s="2"/>
    </row>
    <row r="93" customFormat="false" ht="15" hidden="false" customHeight="false" outlineLevel="0" collapsed="false">
      <c r="A93" s="2" t="s">
        <v>515</v>
      </c>
      <c r="B93" s="2" t="s">
        <v>516</v>
      </c>
      <c r="C93" s="2" t="s">
        <v>2195</v>
      </c>
      <c r="D93" s="2" t="s">
        <v>2224</v>
      </c>
      <c r="E93" s="2" t="s">
        <v>527</v>
      </c>
      <c r="F93" s="2" t="s">
        <v>2197</v>
      </c>
      <c r="G93" s="5" t="n">
        <v>45999</v>
      </c>
      <c r="H93" s="5" t="n">
        <v>46044</v>
      </c>
      <c r="I93" s="2" t="n">
        <v>45</v>
      </c>
      <c r="J93" s="2" t="s">
        <v>41</v>
      </c>
      <c r="K93" s="6" t="n">
        <v>40333.23</v>
      </c>
      <c r="L93" s="2" t="s">
        <v>137</v>
      </c>
      <c r="M93" s="2" t="s">
        <v>531</v>
      </c>
      <c r="N93" s="2"/>
      <c r="O93" s="7" t="b">
        <f aca="false">FALSE()</f>
        <v>0</v>
      </c>
      <c r="P93" s="2" t="n">
        <v>251</v>
      </c>
      <c r="Q93" s="2" t="s">
        <v>2198</v>
      </c>
      <c r="R93" s="2"/>
    </row>
    <row r="94" customFormat="false" ht="15" hidden="false" customHeight="false" outlineLevel="0" collapsed="false">
      <c r="A94" s="2" t="s">
        <v>515</v>
      </c>
      <c r="B94" s="2" t="s">
        <v>516</v>
      </c>
      <c r="C94" s="2" t="s">
        <v>2195</v>
      </c>
      <c r="D94" s="2" t="s">
        <v>2224</v>
      </c>
      <c r="E94" s="2" t="s">
        <v>532</v>
      </c>
      <c r="F94" s="2" t="s">
        <v>2222</v>
      </c>
      <c r="G94" s="5" t="n">
        <v>46093</v>
      </c>
      <c r="H94" s="5" t="n">
        <v>46093</v>
      </c>
      <c r="I94" s="2" t="n">
        <v>0</v>
      </c>
      <c r="J94" s="2" t="s">
        <v>41</v>
      </c>
      <c r="K94" s="6" t="n">
        <v>-42000</v>
      </c>
      <c r="L94" s="2" t="s">
        <v>137</v>
      </c>
      <c r="M94" s="2" t="s">
        <v>535</v>
      </c>
      <c r="N94" s="2"/>
      <c r="O94" s="7" t="b">
        <f aca="false">FALSE()</f>
        <v>0</v>
      </c>
      <c r="P94" s="2" t="n">
        <v>202</v>
      </c>
      <c r="Q94" s="2" t="s">
        <v>2198</v>
      </c>
      <c r="R94" s="2"/>
    </row>
    <row r="95" customFormat="false" ht="15" hidden="false" customHeight="false" outlineLevel="0" collapsed="false">
      <c r="A95" s="2" t="s">
        <v>515</v>
      </c>
      <c r="B95" s="2" t="s">
        <v>516</v>
      </c>
      <c r="C95" s="2" t="s">
        <v>2195</v>
      </c>
      <c r="D95" s="2" t="s">
        <v>2224</v>
      </c>
      <c r="E95" s="2" t="s">
        <v>536</v>
      </c>
      <c r="F95" s="2" t="s">
        <v>2197</v>
      </c>
      <c r="G95" s="5" t="n">
        <v>46131</v>
      </c>
      <c r="H95" s="5" t="n">
        <v>46176</v>
      </c>
      <c r="I95" s="2" t="n">
        <v>45</v>
      </c>
      <c r="J95" s="2" t="s">
        <v>41</v>
      </c>
      <c r="K95" s="6" t="n">
        <v>187040.84</v>
      </c>
      <c r="L95" s="2" t="s">
        <v>2204</v>
      </c>
      <c r="M95" s="2" t="s">
        <v>539</v>
      </c>
      <c r="N95" s="2"/>
      <c r="O95" s="7" t="b">
        <f aca="false">FALSE()</f>
        <v>0</v>
      </c>
      <c r="P95" s="2" t="n">
        <v>119</v>
      </c>
      <c r="Q95" s="2" t="s">
        <v>2201</v>
      </c>
      <c r="R95" s="2"/>
    </row>
    <row r="96" customFormat="false" ht="15" hidden="false" customHeight="false" outlineLevel="0" collapsed="false">
      <c r="A96" s="2" t="s">
        <v>515</v>
      </c>
      <c r="B96" s="2" t="s">
        <v>516</v>
      </c>
      <c r="C96" s="2" t="s">
        <v>2195</v>
      </c>
      <c r="D96" s="2" t="s">
        <v>2224</v>
      </c>
      <c r="E96" s="2" t="s">
        <v>540</v>
      </c>
      <c r="F96" s="2" t="s">
        <v>2197</v>
      </c>
      <c r="G96" s="5" t="n">
        <v>46161</v>
      </c>
      <c r="H96" s="5" t="n">
        <v>46206</v>
      </c>
      <c r="I96" s="2" t="n">
        <v>45</v>
      </c>
      <c r="J96" s="2" t="s">
        <v>41</v>
      </c>
      <c r="K96" s="6" t="n">
        <v>34132.94</v>
      </c>
      <c r="L96" s="2" t="s">
        <v>137</v>
      </c>
      <c r="M96" s="2" t="s">
        <v>544</v>
      </c>
      <c r="N96" s="2" t="s">
        <v>272</v>
      </c>
      <c r="O96" s="7" t="b">
        <f aca="false">TRUE()</f>
        <v>1</v>
      </c>
      <c r="P96" s="2" t="n">
        <v>89</v>
      </c>
      <c r="Q96" s="2" t="s">
        <v>2203</v>
      </c>
      <c r="R96" s="2"/>
    </row>
    <row r="97" customFormat="false" ht="15" hidden="false" customHeight="false" outlineLevel="0" collapsed="false">
      <c r="A97" s="2" t="s">
        <v>515</v>
      </c>
      <c r="B97" s="2" t="s">
        <v>516</v>
      </c>
      <c r="C97" s="2" t="s">
        <v>2195</v>
      </c>
      <c r="D97" s="2" t="s">
        <v>2224</v>
      </c>
      <c r="E97" s="2" t="s">
        <v>545</v>
      </c>
      <c r="F97" s="2" t="s">
        <v>2197</v>
      </c>
      <c r="G97" s="5" t="n">
        <v>46168</v>
      </c>
      <c r="H97" s="5" t="n">
        <v>46213</v>
      </c>
      <c r="I97" s="2" t="n">
        <v>45</v>
      </c>
      <c r="J97" s="2" t="s">
        <v>41</v>
      </c>
      <c r="K97" s="6" t="n">
        <v>247181.13</v>
      </c>
      <c r="L97" s="2" t="s">
        <v>137</v>
      </c>
      <c r="M97" s="2" t="s">
        <v>548</v>
      </c>
      <c r="N97" s="2" t="s">
        <v>549</v>
      </c>
      <c r="O97" s="7" t="b">
        <f aca="false">FALSE()</f>
        <v>0</v>
      </c>
      <c r="P97" s="2" t="n">
        <v>82</v>
      </c>
      <c r="Q97" s="2" t="s">
        <v>2203</v>
      </c>
      <c r="R97" s="2"/>
    </row>
    <row r="98" customFormat="false" ht="15" hidden="false" customHeight="false" outlineLevel="0" collapsed="false">
      <c r="A98" s="2" t="s">
        <v>515</v>
      </c>
      <c r="B98" s="2" t="s">
        <v>516</v>
      </c>
      <c r="C98" s="2" t="s">
        <v>2195</v>
      </c>
      <c r="D98" s="2" t="s">
        <v>2224</v>
      </c>
      <c r="E98" s="2" t="s">
        <v>550</v>
      </c>
      <c r="F98" s="2" t="s">
        <v>2197</v>
      </c>
      <c r="G98" s="5" t="n">
        <v>46262</v>
      </c>
      <c r="H98" s="5" t="n">
        <v>46307</v>
      </c>
      <c r="I98" s="2" t="n">
        <v>45</v>
      </c>
      <c r="J98" s="2" t="s">
        <v>41</v>
      </c>
      <c r="K98" s="6" t="n">
        <v>169364.23</v>
      </c>
      <c r="L98" s="2" t="s">
        <v>137</v>
      </c>
      <c r="M98" s="2" t="s">
        <v>553</v>
      </c>
      <c r="N98" s="2"/>
      <c r="O98" s="7" t="b">
        <f aca="false">FALSE()</f>
        <v>0</v>
      </c>
      <c r="P98" s="2" t="n">
        <v>-12</v>
      </c>
      <c r="Q98" s="2" t="s">
        <v>2209</v>
      </c>
      <c r="R98" s="2" t="s">
        <v>2202</v>
      </c>
    </row>
    <row r="99" customFormat="false" ht="15" hidden="false" customHeight="false" outlineLevel="0" collapsed="false">
      <c r="A99" s="2" t="s">
        <v>515</v>
      </c>
      <c r="B99" s="2" t="s">
        <v>516</v>
      </c>
      <c r="C99" s="2" t="s">
        <v>2195</v>
      </c>
      <c r="D99" s="2" t="s">
        <v>2224</v>
      </c>
      <c r="E99" s="2" t="s">
        <v>554</v>
      </c>
      <c r="F99" s="2" t="s">
        <v>2197</v>
      </c>
      <c r="G99" s="5" t="n">
        <v>46274</v>
      </c>
      <c r="H99" s="5" t="n">
        <v>46319</v>
      </c>
      <c r="I99" s="2" t="n">
        <v>45</v>
      </c>
      <c r="J99" s="2" t="s">
        <v>41</v>
      </c>
      <c r="K99" s="6" t="n">
        <v>159536</v>
      </c>
      <c r="L99" s="2" t="s">
        <v>137</v>
      </c>
      <c r="M99" s="2" t="s">
        <v>557</v>
      </c>
      <c r="N99" s="2" t="s">
        <v>57</v>
      </c>
      <c r="O99" s="7" t="b">
        <f aca="false">FALSE()</f>
        <v>0</v>
      </c>
      <c r="P99" s="2" t="n">
        <v>-24</v>
      </c>
      <c r="Q99" s="2" t="s">
        <v>2209</v>
      </c>
      <c r="R99" s="2"/>
    </row>
    <row r="100" customFormat="false" ht="15" hidden="false" customHeight="false" outlineLevel="0" collapsed="false">
      <c r="A100" s="2" t="s">
        <v>515</v>
      </c>
      <c r="B100" s="2" t="s">
        <v>516</v>
      </c>
      <c r="C100" s="2" t="s">
        <v>2195</v>
      </c>
      <c r="D100" s="2" t="s">
        <v>2224</v>
      </c>
      <c r="E100" s="2" t="s">
        <v>558</v>
      </c>
      <c r="F100" s="2" t="s">
        <v>2197</v>
      </c>
      <c r="G100" s="5" t="n">
        <v>46289</v>
      </c>
      <c r="H100" s="5" t="n">
        <v>46334</v>
      </c>
      <c r="I100" s="2" t="n">
        <v>45</v>
      </c>
      <c r="J100" s="2" t="s">
        <v>41</v>
      </c>
      <c r="K100" s="6" t="n">
        <v>215822</v>
      </c>
      <c r="L100" s="2" t="s">
        <v>137</v>
      </c>
      <c r="M100" s="2" t="s">
        <v>562</v>
      </c>
      <c r="N100" s="2"/>
      <c r="O100" s="7" t="b">
        <f aca="false">FALSE()</f>
        <v>0</v>
      </c>
      <c r="P100" s="2" t="n">
        <v>-39</v>
      </c>
      <c r="Q100" s="2" t="s">
        <v>2209</v>
      </c>
      <c r="R100" s="2"/>
    </row>
    <row r="101" customFormat="false" ht="15" hidden="false" customHeight="false" outlineLevel="0" collapsed="false">
      <c r="A101" s="2" t="s">
        <v>565</v>
      </c>
      <c r="B101" s="2" t="s">
        <v>2232</v>
      </c>
      <c r="C101" s="2" t="s">
        <v>2213</v>
      </c>
      <c r="D101" s="2" t="s">
        <v>2227</v>
      </c>
      <c r="E101" s="2" t="s">
        <v>567</v>
      </c>
      <c r="F101" s="2" t="s">
        <v>2197</v>
      </c>
      <c r="G101" s="5" t="n">
        <v>45937</v>
      </c>
      <c r="H101" s="5" t="n">
        <v>45982</v>
      </c>
      <c r="I101" s="2" t="n">
        <v>45</v>
      </c>
      <c r="J101" s="2" t="s">
        <v>41</v>
      </c>
      <c r="K101" s="6" t="n">
        <v>76837.14</v>
      </c>
      <c r="L101" s="2" t="s">
        <v>571</v>
      </c>
      <c r="M101" s="2" t="s">
        <v>572</v>
      </c>
      <c r="N101" s="2"/>
      <c r="O101" s="7" t="b">
        <f aca="false">FALSE()</f>
        <v>0</v>
      </c>
      <c r="P101" s="2" t="n">
        <v>313</v>
      </c>
      <c r="Q101" s="2" t="s">
        <v>2198</v>
      </c>
      <c r="R101" s="2"/>
    </row>
    <row r="102" customFormat="false" ht="15" hidden="false" customHeight="false" outlineLevel="0" collapsed="false">
      <c r="A102" s="2" t="s">
        <v>565</v>
      </c>
      <c r="B102" s="2" t="s">
        <v>2232</v>
      </c>
      <c r="C102" s="2" t="s">
        <v>2213</v>
      </c>
      <c r="D102" s="2" t="s">
        <v>2227</v>
      </c>
      <c r="E102" s="2" t="s">
        <v>573</v>
      </c>
      <c r="F102" s="2" t="s">
        <v>2197</v>
      </c>
      <c r="G102" s="5" t="n">
        <v>46022</v>
      </c>
      <c r="H102" s="5" t="n">
        <v>46067</v>
      </c>
      <c r="I102" s="2" t="n">
        <v>45</v>
      </c>
      <c r="J102" s="2" t="s">
        <v>41</v>
      </c>
      <c r="K102" s="6" t="n">
        <v>53690</v>
      </c>
      <c r="L102" s="2" t="s">
        <v>571</v>
      </c>
      <c r="M102" s="2"/>
      <c r="N102" s="2" t="s">
        <v>576</v>
      </c>
      <c r="O102" s="7" t="b">
        <f aca="false">TRUE()</f>
        <v>1</v>
      </c>
      <c r="P102" s="2" t="n">
        <v>228</v>
      </c>
      <c r="Q102" s="2" t="s">
        <v>2198</v>
      </c>
      <c r="R102" s="2" t="s">
        <v>2233</v>
      </c>
    </row>
    <row r="103" customFormat="false" ht="15" hidden="false" customHeight="false" outlineLevel="0" collapsed="false">
      <c r="A103" s="2" t="s">
        <v>565</v>
      </c>
      <c r="B103" s="2" t="s">
        <v>2232</v>
      </c>
      <c r="C103" s="2" t="s">
        <v>2213</v>
      </c>
      <c r="D103" s="2" t="s">
        <v>2227</v>
      </c>
      <c r="E103" s="2" t="s">
        <v>577</v>
      </c>
      <c r="F103" s="2" t="s">
        <v>2212</v>
      </c>
      <c r="G103" s="5" t="n">
        <v>46195</v>
      </c>
      <c r="H103" s="5" t="n">
        <v>46195</v>
      </c>
      <c r="I103" s="2" t="n">
        <v>0</v>
      </c>
      <c r="J103" s="2" t="s">
        <v>41</v>
      </c>
      <c r="K103" s="6" t="n">
        <v>-79000</v>
      </c>
      <c r="L103" s="2" t="s">
        <v>571</v>
      </c>
      <c r="M103" s="2" t="s">
        <v>226</v>
      </c>
      <c r="N103" s="2"/>
      <c r="O103" s="7" t="b">
        <f aca="false">FALSE()</f>
        <v>0</v>
      </c>
      <c r="P103" s="2" t="n">
        <v>100</v>
      </c>
      <c r="Q103" s="2" t="s">
        <v>2201</v>
      </c>
      <c r="R103" s="2"/>
    </row>
    <row r="104" customFormat="false" ht="15" hidden="false" customHeight="false" outlineLevel="0" collapsed="false">
      <c r="A104" s="2" t="s">
        <v>565</v>
      </c>
      <c r="B104" s="2" t="s">
        <v>2232</v>
      </c>
      <c r="C104" s="2" t="s">
        <v>2213</v>
      </c>
      <c r="D104" s="2" t="s">
        <v>2227</v>
      </c>
      <c r="E104" s="2" t="s">
        <v>581</v>
      </c>
      <c r="F104" s="2" t="s">
        <v>2197</v>
      </c>
      <c r="G104" s="5" t="n">
        <v>46263</v>
      </c>
      <c r="H104" s="5" t="n">
        <v>46308</v>
      </c>
      <c r="I104" s="2" t="n">
        <v>45</v>
      </c>
      <c r="J104" s="2" t="s">
        <v>41</v>
      </c>
      <c r="K104" s="6" t="n">
        <v>40530</v>
      </c>
      <c r="L104" s="2" t="s">
        <v>571</v>
      </c>
      <c r="M104" s="2" t="s">
        <v>584</v>
      </c>
      <c r="N104" s="2"/>
      <c r="O104" s="7" t="b">
        <f aca="false">FALSE()</f>
        <v>0</v>
      </c>
      <c r="P104" s="2" t="n">
        <v>-13</v>
      </c>
      <c r="Q104" s="2" t="s">
        <v>2209</v>
      </c>
      <c r="R104" s="2"/>
    </row>
    <row r="105" customFormat="false" ht="15" hidden="false" customHeight="false" outlineLevel="0" collapsed="false">
      <c r="A105" s="2" t="s">
        <v>565</v>
      </c>
      <c r="B105" s="2" t="s">
        <v>2232</v>
      </c>
      <c r="C105" s="2" t="s">
        <v>2213</v>
      </c>
      <c r="D105" s="2" t="s">
        <v>2227</v>
      </c>
      <c r="E105" s="2" t="s">
        <v>2234</v>
      </c>
      <c r="F105" s="2" t="s">
        <v>2197</v>
      </c>
      <c r="G105" s="5" t="n">
        <v>46266</v>
      </c>
      <c r="H105" s="5" t="n">
        <v>46311</v>
      </c>
      <c r="I105" s="2" t="n">
        <v>45</v>
      </c>
      <c r="J105" s="2" t="s">
        <v>41</v>
      </c>
      <c r="K105" s="6" t="n">
        <v>36332.57</v>
      </c>
      <c r="L105" s="2" t="s">
        <v>571</v>
      </c>
      <c r="M105" s="2" t="s">
        <v>588</v>
      </c>
      <c r="N105" s="2"/>
      <c r="O105" s="7" t="b">
        <f aca="false">FALSE()</f>
        <v>0</v>
      </c>
      <c r="P105" s="2" t="n">
        <v>-16</v>
      </c>
      <c r="Q105" s="2" t="s">
        <v>2209</v>
      </c>
      <c r="R105" s="2" t="s">
        <v>2233</v>
      </c>
    </row>
    <row r="106" customFormat="false" ht="15" hidden="false" customHeight="false" outlineLevel="0" collapsed="false">
      <c r="A106" s="2" t="s">
        <v>565</v>
      </c>
      <c r="B106" s="2" t="s">
        <v>2232</v>
      </c>
      <c r="C106" s="2" t="s">
        <v>2213</v>
      </c>
      <c r="D106" s="2" t="s">
        <v>2227</v>
      </c>
      <c r="E106" s="2" t="s">
        <v>589</v>
      </c>
      <c r="F106" s="2" t="s">
        <v>2197</v>
      </c>
      <c r="G106" s="5" t="n">
        <v>46273</v>
      </c>
      <c r="H106" s="5" t="n">
        <v>46318</v>
      </c>
      <c r="I106" s="2" t="n">
        <v>45</v>
      </c>
      <c r="J106" s="2" t="s">
        <v>41</v>
      </c>
      <c r="K106" s="6" t="n">
        <v>213760</v>
      </c>
      <c r="L106" s="2" t="s">
        <v>571</v>
      </c>
      <c r="M106" s="2" t="s">
        <v>593</v>
      </c>
      <c r="N106" s="2"/>
      <c r="O106" s="7" t="b">
        <f aca="false">FALSE()</f>
        <v>0</v>
      </c>
      <c r="P106" s="2" t="n">
        <v>-23</v>
      </c>
      <c r="Q106" s="2" t="s">
        <v>2209</v>
      </c>
      <c r="R106" s="2" t="s">
        <v>2202</v>
      </c>
    </row>
    <row r="107" customFormat="false" ht="15" hidden="false" customHeight="false" outlineLevel="0" collapsed="false">
      <c r="A107" s="2" t="s">
        <v>565</v>
      </c>
      <c r="B107" s="2" t="s">
        <v>2232</v>
      </c>
      <c r="C107" s="2" t="s">
        <v>2213</v>
      </c>
      <c r="D107" s="2" t="s">
        <v>2227</v>
      </c>
      <c r="E107" s="2" t="s">
        <v>594</v>
      </c>
      <c r="F107" s="2" t="s">
        <v>2197</v>
      </c>
      <c r="G107" s="5" t="n">
        <v>46275</v>
      </c>
      <c r="H107" s="5" t="n">
        <v>46320</v>
      </c>
      <c r="I107" s="2" t="n">
        <v>45</v>
      </c>
      <c r="J107" s="2" t="s">
        <v>41</v>
      </c>
      <c r="K107" s="6" t="n">
        <v>133385.64</v>
      </c>
      <c r="L107" s="2" t="s">
        <v>571</v>
      </c>
      <c r="M107" s="2" t="s">
        <v>598</v>
      </c>
      <c r="N107" s="2"/>
      <c r="O107" s="7" t="b">
        <f aca="false">FALSE()</f>
        <v>0</v>
      </c>
      <c r="P107" s="2" t="n">
        <v>-25</v>
      </c>
      <c r="Q107" s="2" t="s">
        <v>2209</v>
      </c>
      <c r="R107" s="2"/>
    </row>
    <row r="108" customFormat="false" ht="15" hidden="false" customHeight="false" outlineLevel="0" collapsed="false">
      <c r="A108" s="2" t="s">
        <v>565</v>
      </c>
      <c r="B108" s="2" t="s">
        <v>2232</v>
      </c>
      <c r="C108" s="2" t="s">
        <v>2213</v>
      </c>
      <c r="D108" s="2" t="s">
        <v>2227</v>
      </c>
      <c r="E108" s="2" t="s">
        <v>599</v>
      </c>
      <c r="F108" s="2" t="s">
        <v>2197</v>
      </c>
      <c r="G108" s="5" t="n">
        <v>46276</v>
      </c>
      <c r="H108" s="5" t="n">
        <v>46321</v>
      </c>
      <c r="I108" s="2" t="n">
        <v>45</v>
      </c>
      <c r="J108" s="2" t="s">
        <v>41</v>
      </c>
      <c r="K108" s="6" t="n">
        <v>86022</v>
      </c>
      <c r="L108" s="2" t="s">
        <v>502</v>
      </c>
      <c r="M108" s="2"/>
      <c r="N108" s="2"/>
      <c r="O108" s="7" t="b">
        <f aca="false">FALSE()</f>
        <v>0</v>
      </c>
      <c r="P108" s="2" t="n">
        <v>-26</v>
      </c>
      <c r="Q108" s="2" t="s">
        <v>2209</v>
      </c>
      <c r="R108" s="2" t="s">
        <v>2200</v>
      </c>
    </row>
    <row r="109" customFormat="false" ht="15" hidden="false" customHeight="false" outlineLevel="0" collapsed="false">
      <c r="A109" s="2" t="s">
        <v>565</v>
      </c>
      <c r="B109" s="2" t="s">
        <v>2232</v>
      </c>
      <c r="C109" s="2" t="s">
        <v>2213</v>
      </c>
      <c r="D109" s="2" t="s">
        <v>2227</v>
      </c>
      <c r="E109" s="2" t="s">
        <v>601</v>
      </c>
      <c r="F109" s="2" t="s">
        <v>2197</v>
      </c>
      <c r="G109" s="5" t="n">
        <v>46286</v>
      </c>
      <c r="H109" s="5" t="n">
        <v>46346</v>
      </c>
      <c r="I109" s="2" t="n">
        <v>60</v>
      </c>
      <c r="J109" s="2" t="s">
        <v>41</v>
      </c>
      <c r="K109" s="6" t="n">
        <v>80516.9</v>
      </c>
      <c r="L109" s="2" t="s">
        <v>571</v>
      </c>
      <c r="M109" s="2" t="s">
        <v>604</v>
      </c>
      <c r="N109" s="2"/>
      <c r="O109" s="7" t="b">
        <f aca="false">FALSE()</f>
        <v>0</v>
      </c>
      <c r="P109" s="2" t="n">
        <v>-51</v>
      </c>
      <c r="Q109" s="2" t="s">
        <v>2209</v>
      </c>
      <c r="R109" s="2" t="s">
        <v>2208</v>
      </c>
    </row>
    <row r="110" customFormat="false" ht="15" hidden="false" customHeight="false" outlineLevel="0" collapsed="false">
      <c r="A110" s="2" t="s">
        <v>565</v>
      </c>
      <c r="B110" s="2" t="s">
        <v>2232</v>
      </c>
      <c r="C110" s="2" t="s">
        <v>2213</v>
      </c>
      <c r="D110" s="2" t="s">
        <v>2227</v>
      </c>
      <c r="E110" s="2" t="s">
        <v>605</v>
      </c>
      <c r="F110" s="2" t="s">
        <v>2197</v>
      </c>
      <c r="G110" s="5" t="n">
        <v>46295</v>
      </c>
      <c r="H110" s="5" t="n">
        <v>46340</v>
      </c>
      <c r="I110" s="2" t="n">
        <v>45</v>
      </c>
      <c r="J110" s="2" t="s">
        <v>41</v>
      </c>
      <c r="K110" s="6" t="n">
        <v>26880</v>
      </c>
      <c r="L110" s="2" t="s">
        <v>571</v>
      </c>
      <c r="M110" s="2" t="s">
        <v>610</v>
      </c>
      <c r="N110" s="2"/>
      <c r="O110" s="7" t="b">
        <f aca="false">FALSE()</f>
        <v>0</v>
      </c>
      <c r="P110" s="2" t="n">
        <v>-45</v>
      </c>
      <c r="Q110" s="2" t="s">
        <v>2209</v>
      </c>
      <c r="R110" s="2"/>
    </row>
    <row r="111" customFormat="false" ht="15" hidden="false" customHeight="false" outlineLevel="0" collapsed="false">
      <c r="A111" s="2" t="s">
        <v>612</v>
      </c>
      <c r="B111" s="2" t="s">
        <v>613</v>
      </c>
      <c r="C111" s="2" t="s">
        <v>2213</v>
      </c>
      <c r="D111" s="2" t="s">
        <v>2215</v>
      </c>
      <c r="E111" s="2" t="s">
        <v>614</v>
      </c>
      <c r="F111" s="2" t="s">
        <v>2197</v>
      </c>
      <c r="G111" s="5" t="n">
        <v>46143</v>
      </c>
      <c r="H111" s="5" t="n">
        <v>46158</v>
      </c>
      <c r="I111" s="2" t="n">
        <v>15</v>
      </c>
      <c r="J111" s="2" t="s">
        <v>41</v>
      </c>
      <c r="K111" s="6" t="n">
        <v>94147.19</v>
      </c>
      <c r="L111" s="2" t="s">
        <v>162</v>
      </c>
      <c r="M111" s="2" t="s">
        <v>618</v>
      </c>
      <c r="N111" s="2"/>
      <c r="O111" s="7" t="b">
        <f aca="false">FALSE()</f>
        <v>0</v>
      </c>
      <c r="P111" s="2" t="n">
        <v>137</v>
      </c>
      <c r="Q111" s="2" t="s">
        <v>2201</v>
      </c>
      <c r="R111" s="2"/>
    </row>
    <row r="112" customFormat="false" ht="15" hidden="false" customHeight="false" outlineLevel="0" collapsed="false">
      <c r="A112" s="2" t="s">
        <v>612</v>
      </c>
      <c r="B112" s="2" t="s">
        <v>613</v>
      </c>
      <c r="C112" s="2" t="s">
        <v>2213</v>
      </c>
      <c r="D112" s="2" t="s">
        <v>2215</v>
      </c>
      <c r="E112" s="2" t="s">
        <v>619</v>
      </c>
      <c r="F112" s="2" t="s">
        <v>2197</v>
      </c>
      <c r="G112" s="5" t="n">
        <v>46249</v>
      </c>
      <c r="H112" s="5" t="n">
        <v>46279</v>
      </c>
      <c r="I112" s="2" t="n">
        <v>30</v>
      </c>
      <c r="J112" s="2" t="s">
        <v>41</v>
      </c>
      <c r="K112" s="6" t="n">
        <v>56050</v>
      </c>
      <c r="L112" s="2" t="s">
        <v>162</v>
      </c>
      <c r="M112" s="2" t="s">
        <v>623</v>
      </c>
      <c r="N112" s="2" t="s">
        <v>624</v>
      </c>
      <c r="O112" s="7" t="b">
        <f aca="false">TRUE()</f>
        <v>1</v>
      </c>
      <c r="P112" s="2" t="n">
        <v>16</v>
      </c>
      <c r="Q112" s="2" t="s">
        <v>2207</v>
      </c>
      <c r="R112" s="2"/>
    </row>
    <row r="113" customFormat="false" ht="15" hidden="false" customHeight="false" outlineLevel="0" collapsed="false">
      <c r="A113" s="2" t="s">
        <v>626</v>
      </c>
      <c r="B113" s="2" t="s">
        <v>2235</v>
      </c>
      <c r="C113" s="2" t="s">
        <v>2210</v>
      </c>
      <c r="D113" s="2" t="s">
        <v>2211</v>
      </c>
      <c r="E113" s="2" t="s">
        <v>628</v>
      </c>
      <c r="F113" s="2" t="s">
        <v>2197</v>
      </c>
      <c r="G113" s="5" t="n">
        <v>46032</v>
      </c>
      <c r="H113" s="5" t="n">
        <v>46062</v>
      </c>
      <c r="I113" s="2" t="n">
        <v>30</v>
      </c>
      <c r="J113" s="2" t="s">
        <v>41</v>
      </c>
      <c r="K113" s="6" t="n">
        <v>87792</v>
      </c>
      <c r="L113" s="2" t="s">
        <v>137</v>
      </c>
      <c r="M113" s="2" t="s">
        <v>630</v>
      </c>
      <c r="N113" s="2"/>
      <c r="O113" s="7" t="b">
        <f aca="false">FALSE()</f>
        <v>0</v>
      </c>
      <c r="P113" s="2" t="n">
        <v>233</v>
      </c>
      <c r="Q113" s="2" t="s">
        <v>2198</v>
      </c>
      <c r="R113" s="2"/>
    </row>
    <row r="114" customFormat="false" ht="15" hidden="false" customHeight="false" outlineLevel="0" collapsed="false">
      <c r="A114" s="2" t="s">
        <v>626</v>
      </c>
      <c r="B114" s="2" t="s">
        <v>2235</v>
      </c>
      <c r="C114" s="2" t="s">
        <v>2210</v>
      </c>
      <c r="D114" s="2" t="s">
        <v>2211</v>
      </c>
      <c r="E114" s="2" t="s">
        <v>2236</v>
      </c>
      <c r="F114" s="2" t="s">
        <v>2197</v>
      </c>
      <c r="G114" s="5" t="n">
        <v>46058</v>
      </c>
      <c r="H114" s="5" t="n">
        <v>46088</v>
      </c>
      <c r="I114" s="2" t="n">
        <v>30</v>
      </c>
      <c r="J114" s="2" t="s">
        <v>41</v>
      </c>
      <c r="K114" s="6" t="n">
        <v>84252</v>
      </c>
      <c r="L114" s="2" t="s">
        <v>137</v>
      </c>
      <c r="M114" s="2" t="s">
        <v>635</v>
      </c>
      <c r="N114" s="2"/>
      <c r="O114" s="7" t="b">
        <f aca="false">FALSE()</f>
        <v>0</v>
      </c>
      <c r="P114" s="2" t="n">
        <v>207</v>
      </c>
      <c r="Q114" s="2" t="s">
        <v>2198</v>
      </c>
      <c r="R114" s="2"/>
    </row>
    <row r="115" customFormat="false" ht="15" hidden="false" customHeight="false" outlineLevel="0" collapsed="false">
      <c r="A115" s="2" t="s">
        <v>626</v>
      </c>
      <c r="B115" s="2" t="s">
        <v>2235</v>
      </c>
      <c r="C115" s="2" t="s">
        <v>2210</v>
      </c>
      <c r="D115" s="2" t="s">
        <v>2211</v>
      </c>
      <c r="E115" s="2" t="s">
        <v>640</v>
      </c>
      <c r="F115" s="2" t="s">
        <v>2197</v>
      </c>
      <c r="G115" s="5" t="n">
        <v>46094</v>
      </c>
      <c r="H115" s="5" t="n">
        <v>46124</v>
      </c>
      <c r="I115" s="2" t="n">
        <v>30</v>
      </c>
      <c r="J115" s="2" t="s">
        <v>41</v>
      </c>
      <c r="K115" s="6" t="n">
        <v>49442</v>
      </c>
      <c r="L115" s="2" t="s">
        <v>137</v>
      </c>
      <c r="M115" s="2" t="s">
        <v>644</v>
      </c>
      <c r="N115" s="2" t="s">
        <v>645</v>
      </c>
      <c r="O115" s="7" t="b">
        <f aca="false">FALSE()</f>
        <v>0</v>
      </c>
      <c r="P115" s="2" t="n">
        <v>171</v>
      </c>
      <c r="Q115" s="2" t="s">
        <v>2201</v>
      </c>
      <c r="R115" s="2"/>
    </row>
    <row r="116" customFormat="false" ht="15" hidden="false" customHeight="false" outlineLevel="0" collapsed="false">
      <c r="A116" s="2" t="s">
        <v>626</v>
      </c>
      <c r="B116" s="2" t="s">
        <v>2235</v>
      </c>
      <c r="C116" s="2" t="s">
        <v>2210</v>
      </c>
      <c r="D116" s="2" t="s">
        <v>2211</v>
      </c>
      <c r="E116" s="2" t="s">
        <v>636</v>
      </c>
      <c r="F116" s="2" t="s">
        <v>2197</v>
      </c>
      <c r="G116" s="5" t="n">
        <v>46171</v>
      </c>
      <c r="H116" s="5" t="n">
        <v>46201</v>
      </c>
      <c r="I116" s="2" t="n">
        <v>30</v>
      </c>
      <c r="J116" s="2" t="s">
        <v>41</v>
      </c>
      <c r="K116" s="6" t="n">
        <v>213108</v>
      </c>
      <c r="L116" s="2" t="s">
        <v>137</v>
      </c>
      <c r="M116" s="2" t="s">
        <v>639</v>
      </c>
      <c r="N116" s="2"/>
      <c r="O116" s="7" t="b">
        <f aca="false">FALSE()</f>
        <v>0</v>
      </c>
      <c r="P116" s="2" t="n">
        <v>94</v>
      </c>
      <c r="Q116" s="2" t="s">
        <v>2201</v>
      </c>
      <c r="R116" s="2" t="s">
        <v>2202</v>
      </c>
    </row>
    <row r="117" customFormat="false" ht="15" hidden="false" customHeight="false" outlineLevel="0" collapsed="false">
      <c r="A117" s="2" t="s">
        <v>626</v>
      </c>
      <c r="B117" s="2" t="s">
        <v>2235</v>
      </c>
      <c r="C117" s="2" t="s">
        <v>2210</v>
      </c>
      <c r="D117" s="2" t="s">
        <v>2211</v>
      </c>
      <c r="E117" s="2" t="s">
        <v>646</v>
      </c>
      <c r="F117" s="2" t="s">
        <v>2212</v>
      </c>
      <c r="G117" s="5" t="n">
        <v>46233</v>
      </c>
      <c r="H117" s="5" t="n">
        <v>46233</v>
      </c>
      <c r="I117" s="2" t="n">
        <v>0</v>
      </c>
      <c r="J117" s="2" t="s">
        <v>41</v>
      </c>
      <c r="K117" s="6" t="n">
        <v>-20000</v>
      </c>
      <c r="L117" s="2" t="s">
        <v>137</v>
      </c>
      <c r="M117" s="2"/>
      <c r="N117" s="2"/>
      <c r="O117" s="7" t="b">
        <f aca="false">FALSE()</f>
        <v>0</v>
      </c>
      <c r="P117" s="2" t="n">
        <v>62</v>
      </c>
      <c r="Q117" s="2" t="s">
        <v>2203</v>
      </c>
      <c r="R117" s="2"/>
    </row>
    <row r="118" customFormat="false" ht="15" hidden="false" customHeight="false" outlineLevel="0" collapsed="false">
      <c r="A118" s="2" t="s">
        <v>626</v>
      </c>
      <c r="B118" s="2" t="s">
        <v>2235</v>
      </c>
      <c r="C118" s="2" t="s">
        <v>2210</v>
      </c>
      <c r="D118" s="2" t="s">
        <v>2211</v>
      </c>
      <c r="E118" s="2" t="s">
        <v>649</v>
      </c>
      <c r="F118" s="2" t="s">
        <v>2197</v>
      </c>
      <c r="G118" s="5" t="n">
        <v>46242</v>
      </c>
      <c r="H118" s="5" t="n">
        <v>46272</v>
      </c>
      <c r="I118" s="2" t="n">
        <v>30</v>
      </c>
      <c r="J118" s="2" t="s">
        <v>41</v>
      </c>
      <c r="K118" s="6" t="n">
        <v>7043.76</v>
      </c>
      <c r="L118" s="2" t="s">
        <v>2204</v>
      </c>
      <c r="M118" s="2" t="s">
        <v>652</v>
      </c>
      <c r="N118" s="2"/>
      <c r="O118" s="7" t="b">
        <f aca="false">FALSE()</f>
        <v>0</v>
      </c>
      <c r="P118" s="2" t="n">
        <v>23</v>
      </c>
      <c r="Q118" s="2" t="s">
        <v>2207</v>
      </c>
      <c r="R118" s="2"/>
    </row>
    <row r="119" customFormat="false" ht="15" hidden="false" customHeight="false" outlineLevel="0" collapsed="false">
      <c r="A119" s="2" t="s">
        <v>626</v>
      </c>
      <c r="B119" s="2" t="s">
        <v>2235</v>
      </c>
      <c r="C119" s="2" t="s">
        <v>2210</v>
      </c>
      <c r="D119" s="2" t="s">
        <v>2211</v>
      </c>
      <c r="E119" s="2" t="s">
        <v>653</v>
      </c>
      <c r="F119" s="2" t="s">
        <v>2197</v>
      </c>
      <c r="G119" s="5" t="n">
        <v>46242</v>
      </c>
      <c r="H119" s="5" t="n">
        <v>46272</v>
      </c>
      <c r="I119" s="2" t="n">
        <v>30</v>
      </c>
      <c r="J119" s="2" t="s">
        <v>41</v>
      </c>
      <c r="K119" s="6" t="n">
        <v>51344.31</v>
      </c>
      <c r="L119" s="2" t="s">
        <v>137</v>
      </c>
      <c r="M119" s="2" t="s">
        <v>655</v>
      </c>
      <c r="N119" s="2"/>
      <c r="O119" s="7" t="b">
        <f aca="false">FALSE()</f>
        <v>0</v>
      </c>
      <c r="P119" s="2" t="n">
        <v>23</v>
      </c>
      <c r="Q119" s="2" t="s">
        <v>2207</v>
      </c>
      <c r="R119" s="2"/>
    </row>
    <row r="120" customFormat="false" ht="15" hidden="false" customHeight="false" outlineLevel="0" collapsed="false">
      <c r="A120" s="2" t="s">
        <v>626</v>
      </c>
      <c r="B120" s="2" t="s">
        <v>2235</v>
      </c>
      <c r="C120" s="2" t="s">
        <v>2210</v>
      </c>
      <c r="D120" s="2" t="s">
        <v>2211</v>
      </c>
      <c r="E120" s="2" t="s">
        <v>658</v>
      </c>
      <c r="F120" s="2" t="s">
        <v>2197</v>
      </c>
      <c r="G120" s="5" t="n">
        <v>46251</v>
      </c>
      <c r="H120" s="5" t="n">
        <v>46281</v>
      </c>
      <c r="I120" s="2" t="n">
        <v>30</v>
      </c>
      <c r="J120" s="2" t="s">
        <v>41</v>
      </c>
      <c r="K120" s="6" t="n">
        <v>32450</v>
      </c>
      <c r="L120" s="2" t="s">
        <v>137</v>
      </c>
      <c r="M120" s="2" t="s">
        <v>662</v>
      </c>
      <c r="N120" s="2"/>
      <c r="O120" s="7" t="b">
        <f aca="false">FALSE()</f>
        <v>0</v>
      </c>
      <c r="P120" s="2" t="n">
        <v>14</v>
      </c>
      <c r="Q120" s="2" t="s">
        <v>2207</v>
      </c>
      <c r="R120" s="2"/>
    </row>
    <row r="121" customFormat="false" ht="15" hidden="false" customHeight="false" outlineLevel="0" collapsed="false">
      <c r="A121" s="2" t="s">
        <v>626</v>
      </c>
      <c r="B121" s="2" t="s">
        <v>2235</v>
      </c>
      <c r="C121" s="2" t="s">
        <v>2210</v>
      </c>
      <c r="D121" s="2" t="s">
        <v>2211</v>
      </c>
      <c r="E121" s="2" t="s">
        <v>663</v>
      </c>
      <c r="F121" s="2" t="s">
        <v>2197</v>
      </c>
      <c r="G121" s="5" t="n">
        <v>46257</v>
      </c>
      <c r="H121" s="5" t="n">
        <v>46287</v>
      </c>
      <c r="I121" s="2" t="n">
        <v>30</v>
      </c>
      <c r="J121" s="2" t="s">
        <v>41</v>
      </c>
      <c r="K121" s="6" t="n">
        <v>110212</v>
      </c>
      <c r="L121" s="2" t="s">
        <v>137</v>
      </c>
      <c r="M121" s="2" t="s">
        <v>667</v>
      </c>
      <c r="N121" s="2"/>
      <c r="O121" s="7" t="b">
        <f aca="false">FALSE()</f>
        <v>0</v>
      </c>
      <c r="P121" s="2" t="n">
        <v>8</v>
      </c>
      <c r="Q121" s="2" t="s">
        <v>2207</v>
      </c>
      <c r="R121" s="2"/>
    </row>
    <row r="122" customFormat="false" ht="15" hidden="false" customHeight="false" outlineLevel="0" collapsed="false">
      <c r="A122" s="2" t="s">
        <v>626</v>
      </c>
      <c r="B122" s="2" t="s">
        <v>2235</v>
      </c>
      <c r="C122" s="2" t="s">
        <v>2210</v>
      </c>
      <c r="D122" s="2" t="s">
        <v>2211</v>
      </c>
      <c r="E122" s="2" t="s">
        <v>668</v>
      </c>
      <c r="F122" s="2" t="s">
        <v>2206</v>
      </c>
      <c r="G122" s="5" t="n">
        <v>46295</v>
      </c>
      <c r="H122" s="5" t="n">
        <v>46325</v>
      </c>
      <c r="I122" s="2" t="n">
        <v>30</v>
      </c>
      <c r="J122" s="2" t="s">
        <v>41</v>
      </c>
      <c r="K122" s="6" t="n">
        <v>4458.5</v>
      </c>
      <c r="L122" s="2" t="s">
        <v>137</v>
      </c>
      <c r="M122" s="2" t="s">
        <v>670</v>
      </c>
      <c r="N122" s="2"/>
      <c r="O122" s="7" t="b">
        <f aca="false">FALSE()</f>
        <v>0</v>
      </c>
      <c r="P122" s="2" t="n">
        <v>-30</v>
      </c>
      <c r="Q122" s="2" t="s">
        <v>2209</v>
      </c>
      <c r="R122" s="2"/>
    </row>
    <row r="123" customFormat="false" ht="15" hidden="false" customHeight="false" outlineLevel="0" collapsed="false">
      <c r="A123" s="2" t="s">
        <v>672</v>
      </c>
      <c r="B123" s="2" t="s">
        <v>673</v>
      </c>
      <c r="C123" s="2" t="s">
        <v>2213</v>
      </c>
      <c r="D123" s="2" t="s">
        <v>2215</v>
      </c>
      <c r="E123" s="2" t="s">
        <v>674</v>
      </c>
      <c r="F123" s="2" t="s">
        <v>2197</v>
      </c>
      <c r="G123" s="5" t="n">
        <v>45735</v>
      </c>
      <c r="H123" s="5" t="n">
        <v>45795</v>
      </c>
      <c r="I123" s="2" t="n">
        <v>60</v>
      </c>
      <c r="J123" s="2" t="s">
        <v>41</v>
      </c>
      <c r="K123" s="6" t="n">
        <v>120649.62</v>
      </c>
      <c r="L123" s="2" t="s">
        <v>162</v>
      </c>
      <c r="M123" s="2" t="s">
        <v>678</v>
      </c>
      <c r="N123" s="2"/>
      <c r="O123" s="7" t="b">
        <f aca="false">FALSE()</f>
        <v>0</v>
      </c>
      <c r="P123" s="2" t="n">
        <v>500</v>
      </c>
      <c r="Q123" s="2" t="s">
        <v>2198</v>
      </c>
      <c r="R123" s="2"/>
    </row>
    <row r="124" customFormat="false" ht="15" hidden="false" customHeight="false" outlineLevel="0" collapsed="false">
      <c r="A124" s="2" t="s">
        <v>672</v>
      </c>
      <c r="B124" s="2" t="s">
        <v>673</v>
      </c>
      <c r="C124" s="2" t="s">
        <v>2213</v>
      </c>
      <c r="D124" s="2" t="s">
        <v>2215</v>
      </c>
      <c r="E124" s="2" t="s">
        <v>679</v>
      </c>
      <c r="F124" s="2" t="s">
        <v>2197</v>
      </c>
      <c r="G124" s="5" t="n">
        <v>46080</v>
      </c>
      <c r="H124" s="5" t="n">
        <v>46110</v>
      </c>
      <c r="I124" s="2" t="n">
        <v>30</v>
      </c>
      <c r="J124" s="2" t="s">
        <v>41</v>
      </c>
      <c r="K124" s="6" t="n">
        <v>157416.33</v>
      </c>
      <c r="L124" s="2" t="s">
        <v>162</v>
      </c>
      <c r="M124" s="2" t="s">
        <v>682</v>
      </c>
      <c r="N124" s="2"/>
      <c r="O124" s="7" t="b">
        <f aca="false">FALSE()</f>
        <v>0</v>
      </c>
      <c r="P124" s="2" t="n">
        <v>185</v>
      </c>
      <c r="Q124" s="2" t="s">
        <v>2198</v>
      </c>
      <c r="R124" s="2"/>
    </row>
    <row r="125" customFormat="false" ht="15" hidden="false" customHeight="false" outlineLevel="0" collapsed="false">
      <c r="A125" s="2" t="s">
        <v>672</v>
      </c>
      <c r="B125" s="2" t="s">
        <v>673</v>
      </c>
      <c r="C125" s="2" t="s">
        <v>2213</v>
      </c>
      <c r="D125" s="2" t="s">
        <v>2215</v>
      </c>
      <c r="E125" s="2" t="s">
        <v>683</v>
      </c>
      <c r="F125" s="2" t="s">
        <v>2197</v>
      </c>
      <c r="G125" s="5" t="n">
        <v>46163</v>
      </c>
      <c r="H125" s="5" t="n">
        <v>46193</v>
      </c>
      <c r="I125" s="2" t="n">
        <v>30</v>
      </c>
      <c r="J125" s="2" t="s">
        <v>41</v>
      </c>
      <c r="K125" s="6" t="n">
        <v>101008</v>
      </c>
      <c r="L125" s="2" t="s">
        <v>162</v>
      </c>
      <c r="M125" s="2"/>
      <c r="N125" s="2"/>
      <c r="O125" s="7" t="b">
        <f aca="false">FALSE()</f>
        <v>0</v>
      </c>
      <c r="P125" s="2" t="n">
        <v>102</v>
      </c>
      <c r="Q125" s="2" t="s">
        <v>2201</v>
      </c>
      <c r="R125" s="2" t="s">
        <v>2202</v>
      </c>
    </row>
    <row r="126" customFormat="false" ht="15" hidden="false" customHeight="false" outlineLevel="0" collapsed="false">
      <c r="A126" s="2" t="s">
        <v>672</v>
      </c>
      <c r="B126" s="2" t="s">
        <v>673</v>
      </c>
      <c r="C126" s="2" t="s">
        <v>2213</v>
      </c>
      <c r="D126" s="2" t="s">
        <v>2215</v>
      </c>
      <c r="E126" s="2" t="s">
        <v>685</v>
      </c>
      <c r="F126" s="2" t="s">
        <v>2212</v>
      </c>
      <c r="G126" s="5" t="n">
        <v>46179</v>
      </c>
      <c r="H126" s="5" t="n">
        <v>46179</v>
      </c>
      <c r="I126" s="2" t="n">
        <v>0</v>
      </c>
      <c r="J126" s="2" t="s">
        <v>41</v>
      </c>
      <c r="K126" s="6" t="n">
        <v>-69774.43</v>
      </c>
      <c r="L126" s="2" t="s">
        <v>162</v>
      </c>
      <c r="M126" s="2"/>
      <c r="N126" s="2"/>
      <c r="O126" s="7" t="b">
        <f aca="false">FALSE()</f>
        <v>0</v>
      </c>
      <c r="P126" s="2" t="n">
        <v>116</v>
      </c>
      <c r="Q126" s="2" t="s">
        <v>2201</v>
      </c>
      <c r="R126" s="2"/>
    </row>
    <row r="127" customFormat="false" ht="15" hidden="false" customHeight="false" outlineLevel="0" collapsed="false">
      <c r="A127" s="2" t="s">
        <v>672</v>
      </c>
      <c r="B127" s="2" t="s">
        <v>673</v>
      </c>
      <c r="C127" s="2" t="s">
        <v>2213</v>
      </c>
      <c r="D127" s="2" t="s">
        <v>2215</v>
      </c>
      <c r="E127" s="2" t="s">
        <v>2237</v>
      </c>
      <c r="F127" s="2" t="s">
        <v>2212</v>
      </c>
      <c r="G127" s="5" t="n">
        <v>46191</v>
      </c>
      <c r="H127" s="5" t="n">
        <v>46191</v>
      </c>
      <c r="I127" s="2" t="n">
        <v>0</v>
      </c>
      <c r="J127" s="2" t="s">
        <v>41</v>
      </c>
      <c r="K127" s="6" t="n">
        <v>-76887.93</v>
      </c>
      <c r="L127" s="2" t="s">
        <v>162</v>
      </c>
      <c r="M127" s="2" t="s">
        <v>690</v>
      </c>
      <c r="N127" s="2"/>
      <c r="O127" s="7" t="b">
        <f aca="false">FALSE()</f>
        <v>0</v>
      </c>
      <c r="P127" s="2" t="n">
        <v>104</v>
      </c>
      <c r="Q127" s="2" t="s">
        <v>2201</v>
      </c>
      <c r="R127" s="2"/>
    </row>
    <row r="128" customFormat="false" ht="15" hidden="false" customHeight="false" outlineLevel="0" collapsed="false">
      <c r="A128" s="2" t="s">
        <v>672</v>
      </c>
      <c r="B128" s="2" t="s">
        <v>673</v>
      </c>
      <c r="C128" s="2" t="s">
        <v>2213</v>
      </c>
      <c r="D128" s="2" t="s">
        <v>2215</v>
      </c>
      <c r="E128" s="2" t="s">
        <v>691</v>
      </c>
      <c r="F128" s="2" t="s">
        <v>2197</v>
      </c>
      <c r="G128" s="5" t="n">
        <v>46207</v>
      </c>
      <c r="H128" s="5" t="n">
        <v>46267</v>
      </c>
      <c r="I128" s="2" t="n">
        <v>60</v>
      </c>
      <c r="J128" s="2" t="s">
        <v>41</v>
      </c>
      <c r="K128" s="6" t="n">
        <v>23364</v>
      </c>
      <c r="L128" s="2" t="s">
        <v>502</v>
      </c>
      <c r="M128" s="2" t="s">
        <v>695</v>
      </c>
      <c r="N128" s="2"/>
      <c r="O128" s="7" t="b">
        <f aca="false">FALSE()</f>
        <v>0</v>
      </c>
      <c r="P128" s="2" t="n">
        <v>28</v>
      </c>
      <c r="Q128" s="2" t="s">
        <v>2207</v>
      </c>
      <c r="R128" s="2"/>
    </row>
    <row r="129" customFormat="false" ht="15" hidden="false" customHeight="false" outlineLevel="0" collapsed="false">
      <c r="A129" s="2" t="s">
        <v>672</v>
      </c>
      <c r="B129" s="2" t="s">
        <v>673</v>
      </c>
      <c r="C129" s="2" t="s">
        <v>2213</v>
      </c>
      <c r="D129" s="2" t="s">
        <v>2215</v>
      </c>
      <c r="E129" s="2" t="s">
        <v>2238</v>
      </c>
      <c r="F129" s="2" t="s">
        <v>2197</v>
      </c>
      <c r="G129" s="5" t="n">
        <v>46223</v>
      </c>
      <c r="H129" s="5" t="n">
        <v>46253</v>
      </c>
      <c r="I129" s="2" t="n">
        <v>30</v>
      </c>
      <c r="J129" s="2" t="s">
        <v>41</v>
      </c>
      <c r="K129" s="6" t="n">
        <v>41300</v>
      </c>
      <c r="L129" s="2" t="s">
        <v>162</v>
      </c>
      <c r="M129" s="2" t="s">
        <v>703</v>
      </c>
      <c r="N129" s="2"/>
      <c r="O129" s="7" t="b">
        <f aca="false">FALSE()</f>
        <v>0</v>
      </c>
      <c r="P129" s="2" t="n">
        <v>42</v>
      </c>
      <c r="Q129" s="2" t="s">
        <v>2205</v>
      </c>
      <c r="R129" s="2" t="s">
        <v>2200</v>
      </c>
    </row>
    <row r="130" customFormat="false" ht="15" hidden="false" customHeight="false" outlineLevel="0" collapsed="false">
      <c r="A130" s="2" t="s">
        <v>672</v>
      </c>
      <c r="B130" s="2" t="s">
        <v>673</v>
      </c>
      <c r="C130" s="2" t="s">
        <v>2213</v>
      </c>
      <c r="D130" s="2" t="s">
        <v>2215</v>
      </c>
      <c r="E130" s="2" t="s">
        <v>696</v>
      </c>
      <c r="F130" s="2" t="s">
        <v>2197</v>
      </c>
      <c r="G130" s="5" t="n">
        <v>46224</v>
      </c>
      <c r="H130" s="5" t="n">
        <v>46254</v>
      </c>
      <c r="I130" s="2" t="n">
        <v>30</v>
      </c>
      <c r="J130" s="2" t="s">
        <v>41</v>
      </c>
      <c r="K130" s="6" t="n">
        <v>145055.02</v>
      </c>
      <c r="L130" s="2" t="s">
        <v>162</v>
      </c>
      <c r="M130" s="2" t="s">
        <v>700</v>
      </c>
      <c r="N130" s="2"/>
      <c r="O130" s="7" t="b">
        <f aca="false">FALSE()</f>
        <v>0</v>
      </c>
      <c r="P130" s="2" t="n">
        <v>41</v>
      </c>
      <c r="Q130" s="2" t="s">
        <v>2205</v>
      </c>
      <c r="R130" s="2"/>
    </row>
    <row r="131" customFormat="false" ht="15" hidden="false" customHeight="false" outlineLevel="0" collapsed="false">
      <c r="A131" s="2" t="s">
        <v>672</v>
      </c>
      <c r="B131" s="2" t="s">
        <v>673</v>
      </c>
      <c r="C131" s="2" t="s">
        <v>2213</v>
      </c>
      <c r="D131" s="2" t="s">
        <v>2215</v>
      </c>
      <c r="E131" s="2" t="s">
        <v>704</v>
      </c>
      <c r="F131" s="2" t="s">
        <v>2197</v>
      </c>
      <c r="G131" s="5" t="n">
        <v>46259</v>
      </c>
      <c r="H131" s="5" t="n">
        <v>46289</v>
      </c>
      <c r="I131" s="2" t="n">
        <v>30</v>
      </c>
      <c r="J131" s="2" t="s">
        <v>41</v>
      </c>
      <c r="K131" s="6" t="n">
        <v>14673.52</v>
      </c>
      <c r="L131" s="2" t="s">
        <v>2204</v>
      </c>
      <c r="M131" s="2" t="s">
        <v>707</v>
      </c>
      <c r="N131" s="2"/>
      <c r="O131" s="7" t="b">
        <f aca="false">FALSE()</f>
        <v>0</v>
      </c>
      <c r="P131" s="2" t="n">
        <v>6</v>
      </c>
      <c r="Q131" s="2" t="s">
        <v>2207</v>
      </c>
      <c r="R131" s="2"/>
    </row>
    <row r="132" customFormat="false" ht="15" hidden="false" customHeight="false" outlineLevel="0" collapsed="false">
      <c r="A132" s="2" t="s">
        <v>672</v>
      </c>
      <c r="B132" s="2" t="s">
        <v>673</v>
      </c>
      <c r="C132" s="2" t="s">
        <v>2213</v>
      </c>
      <c r="D132" s="2" t="s">
        <v>2215</v>
      </c>
      <c r="E132" s="2" t="s">
        <v>708</v>
      </c>
      <c r="F132" s="2" t="s">
        <v>2197</v>
      </c>
      <c r="G132" s="5" t="n">
        <v>46281</v>
      </c>
      <c r="H132" s="5" t="n">
        <v>46311</v>
      </c>
      <c r="I132" s="2" t="n">
        <v>30</v>
      </c>
      <c r="J132" s="2" t="s">
        <v>41</v>
      </c>
      <c r="K132" s="6" t="n">
        <v>1262984.54</v>
      </c>
      <c r="L132" s="2" t="s">
        <v>162</v>
      </c>
      <c r="M132" s="2" t="s">
        <v>711</v>
      </c>
      <c r="N132" s="2"/>
      <c r="O132" s="7" t="b">
        <f aca="false">FALSE()</f>
        <v>0</v>
      </c>
      <c r="P132" s="2" t="n">
        <v>-16</v>
      </c>
      <c r="Q132" s="2" t="s">
        <v>2209</v>
      </c>
      <c r="R132" s="2"/>
    </row>
    <row r="133" customFormat="false" ht="15" hidden="false" customHeight="false" outlineLevel="0" collapsed="false">
      <c r="A133" s="2" t="s">
        <v>713</v>
      </c>
      <c r="B133" s="2" t="s">
        <v>714</v>
      </c>
      <c r="C133" s="2" t="s">
        <v>2220</v>
      </c>
      <c r="D133" s="2" t="s">
        <v>2215</v>
      </c>
      <c r="E133" s="2" t="s">
        <v>715</v>
      </c>
      <c r="F133" s="2" t="s">
        <v>2197</v>
      </c>
      <c r="G133" s="5" t="n">
        <v>46051</v>
      </c>
      <c r="H133" s="5" t="n">
        <v>46081</v>
      </c>
      <c r="I133" s="2" t="n">
        <v>30</v>
      </c>
      <c r="J133" s="2" t="s">
        <v>41</v>
      </c>
      <c r="K133" s="6" t="n">
        <v>167442</v>
      </c>
      <c r="L133" s="2" t="s">
        <v>1596</v>
      </c>
      <c r="M133" s="2" t="s">
        <v>720</v>
      </c>
      <c r="N133" s="2"/>
      <c r="O133" s="7" t="b">
        <f aca="false">FALSE()</f>
        <v>0</v>
      </c>
      <c r="P133" s="2" t="n">
        <v>214</v>
      </c>
      <c r="Q133" s="2" t="s">
        <v>2198</v>
      </c>
      <c r="R133" s="2"/>
    </row>
    <row r="134" customFormat="false" ht="15" hidden="false" customHeight="false" outlineLevel="0" collapsed="false">
      <c r="A134" s="2" t="s">
        <v>713</v>
      </c>
      <c r="B134" s="2" t="s">
        <v>714</v>
      </c>
      <c r="C134" s="2" t="s">
        <v>2220</v>
      </c>
      <c r="D134" s="2" t="s">
        <v>2215</v>
      </c>
      <c r="E134" s="2" t="s">
        <v>2239</v>
      </c>
      <c r="F134" s="2" t="s">
        <v>2197</v>
      </c>
      <c r="G134" s="5" t="n">
        <v>46111</v>
      </c>
      <c r="H134" s="5" t="n">
        <v>46141</v>
      </c>
      <c r="I134" s="2" t="n">
        <v>30</v>
      </c>
      <c r="J134" s="2" t="s">
        <v>41</v>
      </c>
      <c r="K134" s="6" t="n">
        <v>99120</v>
      </c>
      <c r="L134" s="2" t="s">
        <v>1596</v>
      </c>
      <c r="M134" s="2"/>
      <c r="N134" s="2"/>
      <c r="O134" s="7" t="b">
        <f aca="false">FALSE()</f>
        <v>0</v>
      </c>
      <c r="P134" s="2" t="n">
        <v>154</v>
      </c>
      <c r="Q134" s="2" t="s">
        <v>2201</v>
      </c>
      <c r="R134" s="2"/>
    </row>
    <row r="135" customFormat="false" ht="15" hidden="false" customHeight="false" outlineLevel="0" collapsed="false">
      <c r="A135" s="2" t="s">
        <v>713</v>
      </c>
      <c r="B135" s="2" t="s">
        <v>714</v>
      </c>
      <c r="C135" s="2" t="s">
        <v>2220</v>
      </c>
      <c r="D135" s="2" t="s">
        <v>2215</v>
      </c>
      <c r="E135" s="2" t="s">
        <v>725</v>
      </c>
      <c r="F135" s="2" t="s">
        <v>2197</v>
      </c>
      <c r="G135" s="5" t="n">
        <v>46148</v>
      </c>
      <c r="H135" s="5" t="n">
        <v>46178</v>
      </c>
      <c r="I135" s="2" t="n">
        <v>30</v>
      </c>
      <c r="J135" s="2" t="s">
        <v>41</v>
      </c>
      <c r="K135" s="6" t="n">
        <v>279188</v>
      </c>
      <c r="L135" s="2" t="s">
        <v>1596</v>
      </c>
      <c r="M135" s="2" t="s">
        <v>729</v>
      </c>
      <c r="N135" s="2"/>
      <c r="O135" s="7" t="b">
        <f aca="false">FALSE()</f>
        <v>0</v>
      </c>
      <c r="P135" s="2" t="n">
        <v>117</v>
      </c>
      <c r="Q135" s="2" t="s">
        <v>2201</v>
      </c>
      <c r="R135" s="2"/>
    </row>
    <row r="136" customFormat="false" ht="15" hidden="false" customHeight="false" outlineLevel="0" collapsed="false">
      <c r="A136" s="2" t="s">
        <v>713</v>
      </c>
      <c r="B136" s="2" t="s">
        <v>714</v>
      </c>
      <c r="C136" s="2" t="s">
        <v>2220</v>
      </c>
      <c r="D136" s="2" t="s">
        <v>2215</v>
      </c>
      <c r="E136" s="2" t="s">
        <v>735</v>
      </c>
      <c r="F136" s="2" t="s">
        <v>2197</v>
      </c>
      <c r="G136" s="5" t="n">
        <v>46204</v>
      </c>
      <c r="H136" s="5" t="n">
        <v>46234</v>
      </c>
      <c r="I136" s="2" t="n">
        <v>30</v>
      </c>
      <c r="J136" s="2" t="s">
        <v>41</v>
      </c>
      <c r="K136" s="6" t="n">
        <v>107184</v>
      </c>
      <c r="L136" s="2" t="s">
        <v>1596</v>
      </c>
      <c r="M136" s="2" t="s">
        <v>739</v>
      </c>
      <c r="N136" s="2"/>
      <c r="O136" s="7" t="b">
        <f aca="false">FALSE()</f>
        <v>0</v>
      </c>
      <c r="P136" s="2" t="n">
        <v>61</v>
      </c>
      <c r="Q136" s="2" t="s">
        <v>2203</v>
      </c>
      <c r="R136" s="2"/>
    </row>
    <row r="137" customFormat="false" ht="15" hidden="false" customHeight="false" outlineLevel="0" collapsed="false">
      <c r="A137" s="2" t="s">
        <v>713</v>
      </c>
      <c r="B137" s="2" t="s">
        <v>714</v>
      </c>
      <c r="C137" s="2" t="s">
        <v>2220</v>
      </c>
      <c r="D137" s="2" t="s">
        <v>2215</v>
      </c>
      <c r="E137" s="2" t="s">
        <v>730</v>
      </c>
      <c r="F137" s="2" t="s">
        <v>2197</v>
      </c>
      <c r="G137" s="5" t="n">
        <v>46236</v>
      </c>
      <c r="H137" s="5" t="n">
        <v>46266</v>
      </c>
      <c r="I137" s="2" t="n">
        <v>30</v>
      </c>
      <c r="J137" s="2" t="s">
        <v>41</v>
      </c>
      <c r="K137" s="6" t="n">
        <v>15694</v>
      </c>
      <c r="L137" s="2" t="s">
        <v>1596</v>
      </c>
      <c r="M137" s="2" t="s">
        <v>734</v>
      </c>
      <c r="N137" s="2"/>
      <c r="O137" s="7" t="b">
        <f aca="false">FALSE()</f>
        <v>0</v>
      </c>
      <c r="P137" s="2" t="n">
        <v>29</v>
      </c>
      <c r="Q137" s="2" t="s">
        <v>2207</v>
      </c>
      <c r="R137" s="2"/>
    </row>
    <row r="138" customFormat="false" ht="15" hidden="false" customHeight="false" outlineLevel="0" collapsed="false">
      <c r="A138" s="2" t="s">
        <v>713</v>
      </c>
      <c r="B138" s="2" t="s">
        <v>714</v>
      </c>
      <c r="C138" s="2" t="s">
        <v>2220</v>
      </c>
      <c r="D138" s="2" t="s">
        <v>2215</v>
      </c>
      <c r="E138" s="2" t="s">
        <v>740</v>
      </c>
      <c r="F138" s="2" t="s">
        <v>2197</v>
      </c>
      <c r="G138" s="5" t="n">
        <v>46270</v>
      </c>
      <c r="H138" s="5" t="n">
        <v>46300</v>
      </c>
      <c r="I138" s="2" t="n">
        <v>30</v>
      </c>
      <c r="J138" s="2" t="s">
        <v>41</v>
      </c>
      <c r="K138" s="6" t="n">
        <v>109268</v>
      </c>
      <c r="L138" s="2" t="s">
        <v>1596</v>
      </c>
      <c r="M138" s="2" t="s">
        <v>744</v>
      </c>
      <c r="N138" s="2"/>
      <c r="O138" s="7" t="b">
        <f aca="false">FALSE()</f>
        <v>0</v>
      </c>
      <c r="P138" s="2" t="n">
        <v>-5</v>
      </c>
      <c r="Q138" s="2" t="s">
        <v>2209</v>
      </c>
      <c r="R138" s="2"/>
    </row>
    <row r="139" customFormat="false" ht="15" hidden="false" customHeight="false" outlineLevel="0" collapsed="false">
      <c r="A139" s="2" t="s">
        <v>713</v>
      </c>
      <c r="B139" s="2" t="s">
        <v>714</v>
      </c>
      <c r="C139" s="2" t="s">
        <v>2220</v>
      </c>
      <c r="D139" s="2" t="s">
        <v>2215</v>
      </c>
      <c r="E139" s="2" t="s">
        <v>749</v>
      </c>
      <c r="F139" s="2" t="s">
        <v>2222</v>
      </c>
      <c r="G139" s="5" t="n">
        <v>46286</v>
      </c>
      <c r="H139" s="5" t="n">
        <v>46286</v>
      </c>
      <c r="I139" s="2" t="n">
        <v>0</v>
      </c>
      <c r="J139" s="2" t="s">
        <v>41</v>
      </c>
      <c r="K139" s="6" t="n">
        <v>-177400</v>
      </c>
      <c r="L139" s="2" t="s">
        <v>1596</v>
      </c>
      <c r="M139" s="2" t="s">
        <v>752</v>
      </c>
      <c r="N139" s="2"/>
      <c r="O139" s="7" t="b">
        <f aca="false">FALSE()</f>
        <v>0</v>
      </c>
      <c r="P139" s="2" t="n">
        <v>9</v>
      </c>
      <c r="Q139" s="2" t="s">
        <v>2207</v>
      </c>
      <c r="R139" s="2"/>
    </row>
    <row r="140" customFormat="false" ht="15" hidden="false" customHeight="false" outlineLevel="0" collapsed="false">
      <c r="A140" s="2" t="s">
        <v>713</v>
      </c>
      <c r="B140" s="2" t="s">
        <v>714</v>
      </c>
      <c r="C140" s="2" t="s">
        <v>2220</v>
      </c>
      <c r="D140" s="2" t="s">
        <v>2215</v>
      </c>
      <c r="E140" s="2" t="s">
        <v>2240</v>
      </c>
      <c r="F140" s="2" t="s">
        <v>2197</v>
      </c>
      <c r="G140" s="5" t="n">
        <v>46287</v>
      </c>
      <c r="H140" s="5" t="n">
        <v>46317</v>
      </c>
      <c r="I140" s="2" t="n">
        <v>30</v>
      </c>
      <c r="J140" s="2" t="s">
        <v>41</v>
      </c>
      <c r="K140" s="6" t="n">
        <v>162014</v>
      </c>
      <c r="L140" s="2" t="s">
        <v>1596</v>
      </c>
      <c r="M140" s="2"/>
      <c r="N140" s="2"/>
      <c r="O140" s="7" t="b">
        <f aca="false">FALSE()</f>
        <v>0</v>
      </c>
      <c r="P140" s="2" t="n">
        <v>-22</v>
      </c>
      <c r="Q140" s="2" t="s">
        <v>2209</v>
      </c>
      <c r="R140" s="2"/>
    </row>
    <row r="141" customFormat="false" ht="15" hidden="false" customHeight="false" outlineLevel="0" collapsed="false">
      <c r="A141" s="2" t="s">
        <v>713</v>
      </c>
      <c r="B141" s="2" t="s">
        <v>714</v>
      </c>
      <c r="C141" s="2" t="s">
        <v>2220</v>
      </c>
      <c r="D141" s="2" t="s">
        <v>2215</v>
      </c>
      <c r="E141" s="2" t="s">
        <v>2241</v>
      </c>
      <c r="F141" s="2" t="s">
        <v>2197</v>
      </c>
      <c r="G141" s="5" t="n">
        <v>46293</v>
      </c>
      <c r="H141" s="5" t="n">
        <v>46323</v>
      </c>
      <c r="I141" s="2" t="n">
        <v>30</v>
      </c>
      <c r="J141" s="2" t="s">
        <v>41</v>
      </c>
      <c r="K141" s="6" t="n">
        <v>99474</v>
      </c>
      <c r="L141" s="2" t="s">
        <v>571</v>
      </c>
      <c r="M141" s="2" t="s">
        <v>755</v>
      </c>
      <c r="N141" s="2"/>
      <c r="O141" s="7" t="b">
        <f aca="false">FALSE()</f>
        <v>0</v>
      </c>
      <c r="P141" s="2" t="n">
        <v>-28</v>
      </c>
      <c r="Q141" s="2" t="s">
        <v>2209</v>
      </c>
      <c r="R141" s="2"/>
    </row>
    <row r="142" customFormat="false" ht="15" hidden="false" customHeight="false" outlineLevel="0" collapsed="false">
      <c r="A142" s="2" t="s">
        <v>757</v>
      </c>
      <c r="B142" s="2" t="s">
        <v>758</v>
      </c>
      <c r="C142" s="2" t="s">
        <v>2213</v>
      </c>
      <c r="D142" s="2" t="s">
        <v>2215</v>
      </c>
      <c r="E142" s="2" t="s">
        <v>759</v>
      </c>
      <c r="F142" s="2" t="s">
        <v>2197</v>
      </c>
      <c r="G142" s="5" t="n">
        <v>46170</v>
      </c>
      <c r="H142" s="5" t="n">
        <v>46200</v>
      </c>
      <c r="I142" s="2" t="n">
        <v>30</v>
      </c>
      <c r="J142" s="2" t="s">
        <v>41</v>
      </c>
      <c r="K142" s="6" t="n">
        <v>40120</v>
      </c>
      <c r="L142" s="2" t="s">
        <v>571</v>
      </c>
      <c r="M142" s="2" t="s">
        <v>763</v>
      </c>
      <c r="N142" s="2"/>
      <c r="O142" s="7" t="b">
        <f aca="false">FALSE()</f>
        <v>0</v>
      </c>
      <c r="P142" s="2" t="n">
        <v>95</v>
      </c>
      <c r="Q142" s="2" t="s">
        <v>2201</v>
      </c>
      <c r="R142" s="2"/>
    </row>
    <row r="143" customFormat="false" ht="15" hidden="false" customHeight="false" outlineLevel="0" collapsed="false">
      <c r="A143" s="2" t="s">
        <v>757</v>
      </c>
      <c r="B143" s="2" t="s">
        <v>758</v>
      </c>
      <c r="C143" s="2" t="s">
        <v>2213</v>
      </c>
      <c r="D143" s="2" t="s">
        <v>2215</v>
      </c>
      <c r="E143" s="2" t="s">
        <v>764</v>
      </c>
      <c r="F143" s="2" t="s">
        <v>2197</v>
      </c>
      <c r="G143" s="5" t="n">
        <v>46266</v>
      </c>
      <c r="H143" s="5" t="n">
        <v>46296</v>
      </c>
      <c r="I143" s="2" t="n">
        <v>30</v>
      </c>
      <c r="J143" s="2" t="s">
        <v>41</v>
      </c>
      <c r="K143" s="6" t="n">
        <v>24898</v>
      </c>
      <c r="L143" s="2" t="s">
        <v>571</v>
      </c>
      <c r="M143" s="2" t="s">
        <v>767</v>
      </c>
      <c r="N143" s="2"/>
      <c r="O143" s="7" t="b">
        <f aca="false">FALSE()</f>
        <v>0</v>
      </c>
      <c r="P143" s="2" t="n">
        <v>-1</v>
      </c>
      <c r="Q143" s="2" t="s">
        <v>2209</v>
      </c>
      <c r="R143" s="2"/>
    </row>
    <row r="144" customFormat="false" ht="15" hidden="false" customHeight="false" outlineLevel="0" collapsed="false">
      <c r="A144" s="2" t="s">
        <v>769</v>
      </c>
      <c r="B144" s="2" t="s">
        <v>2242</v>
      </c>
      <c r="C144" s="2" t="s">
        <v>2213</v>
      </c>
      <c r="D144" s="2" t="s">
        <v>2227</v>
      </c>
      <c r="E144" s="2" t="s">
        <v>771</v>
      </c>
      <c r="F144" s="2" t="s">
        <v>2197</v>
      </c>
      <c r="G144" s="5" t="n">
        <v>45923</v>
      </c>
      <c r="H144" s="5" t="n">
        <v>45968</v>
      </c>
      <c r="I144" s="2" t="n">
        <v>45</v>
      </c>
      <c r="J144" s="2" t="s">
        <v>41</v>
      </c>
      <c r="K144" s="6" t="n">
        <v>551050.91</v>
      </c>
      <c r="L144" s="2" t="s">
        <v>571</v>
      </c>
      <c r="M144" s="2"/>
      <c r="N144" s="2"/>
      <c r="O144" s="7" t="b">
        <f aca="false">FALSE()</f>
        <v>0</v>
      </c>
      <c r="P144" s="2" t="n">
        <v>327</v>
      </c>
      <c r="Q144" s="2" t="s">
        <v>2198</v>
      </c>
      <c r="R144" s="2" t="s">
        <v>2208</v>
      </c>
    </row>
    <row r="145" customFormat="false" ht="15" hidden="false" customHeight="false" outlineLevel="0" collapsed="false">
      <c r="A145" s="2" t="s">
        <v>769</v>
      </c>
      <c r="B145" s="2" t="s">
        <v>2242</v>
      </c>
      <c r="C145" s="2" t="s">
        <v>2213</v>
      </c>
      <c r="D145" s="2" t="s">
        <v>2227</v>
      </c>
      <c r="E145" s="2" t="s">
        <v>776</v>
      </c>
      <c r="F145" s="2" t="s">
        <v>2197</v>
      </c>
      <c r="G145" s="5" t="n">
        <v>46265</v>
      </c>
      <c r="H145" s="5" t="n">
        <v>46310</v>
      </c>
      <c r="I145" s="2" t="n">
        <v>45</v>
      </c>
      <c r="J145" s="2" t="s">
        <v>41</v>
      </c>
      <c r="K145" s="6" t="n">
        <v>109694.5</v>
      </c>
      <c r="L145" s="2" t="s">
        <v>571</v>
      </c>
      <c r="M145" s="2"/>
      <c r="N145" s="2"/>
      <c r="O145" s="7" t="b">
        <f aca="false">FALSE()</f>
        <v>0</v>
      </c>
      <c r="P145" s="2" t="n">
        <v>-15</v>
      </c>
      <c r="Q145" s="2" t="s">
        <v>2209</v>
      </c>
      <c r="R145" s="2" t="s">
        <v>2233</v>
      </c>
    </row>
    <row r="146" customFormat="false" ht="15" hidden="false" customHeight="false" outlineLevel="0" collapsed="false">
      <c r="A146" s="2" t="s">
        <v>769</v>
      </c>
      <c r="B146" s="2" t="s">
        <v>2242</v>
      </c>
      <c r="C146" s="2" t="s">
        <v>2213</v>
      </c>
      <c r="D146" s="2" t="s">
        <v>2227</v>
      </c>
      <c r="E146" s="2" t="s">
        <v>780</v>
      </c>
      <c r="F146" s="2" t="s">
        <v>2197</v>
      </c>
      <c r="G146" s="5" t="n">
        <v>46271</v>
      </c>
      <c r="H146" s="5" t="n">
        <v>46316</v>
      </c>
      <c r="I146" s="2" t="n">
        <v>45</v>
      </c>
      <c r="J146" s="2" t="s">
        <v>41</v>
      </c>
      <c r="K146" s="6" t="n">
        <v>184039.65</v>
      </c>
      <c r="L146" s="2" t="s">
        <v>571</v>
      </c>
      <c r="M146" s="2" t="s">
        <v>784</v>
      </c>
      <c r="N146" s="2"/>
      <c r="O146" s="7" t="b">
        <f aca="false">FALSE()</f>
        <v>0</v>
      </c>
      <c r="P146" s="2" t="n">
        <v>-21</v>
      </c>
      <c r="Q146" s="2" t="s">
        <v>2209</v>
      </c>
      <c r="R146" s="2"/>
    </row>
    <row r="147" customFormat="false" ht="15" hidden="false" customHeight="false" outlineLevel="0" collapsed="false">
      <c r="A147" s="2" t="s">
        <v>2243</v>
      </c>
      <c r="B147" s="2" t="s">
        <v>787</v>
      </c>
      <c r="C147" s="2" t="s">
        <v>2214</v>
      </c>
      <c r="D147" s="2" t="s">
        <v>2244</v>
      </c>
      <c r="E147" s="2" t="s">
        <v>788</v>
      </c>
      <c r="F147" s="2" t="s">
        <v>2197</v>
      </c>
      <c r="G147" s="5" t="n">
        <v>46023</v>
      </c>
      <c r="H147" s="5" t="n">
        <v>46083</v>
      </c>
      <c r="I147" s="2" t="n">
        <v>60</v>
      </c>
      <c r="J147" s="2" t="s">
        <v>41</v>
      </c>
      <c r="K147" s="6" t="n">
        <v>401500.9</v>
      </c>
      <c r="L147" s="2" t="s">
        <v>137</v>
      </c>
      <c r="M147" s="2" t="s">
        <v>792</v>
      </c>
      <c r="N147" s="2"/>
      <c r="O147" s="7" t="b">
        <f aca="false">FALSE()</f>
        <v>0</v>
      </c>
      <c r="P147" s="2" t="n">
        <v>212</v>
      </c>
      <c r="Q147" s="2" t="s">
        <v>2198</v>
      </c>
      <c r="R147" s="2"/>
    </row>
    <row r="148" customFormat="false" ht="15" hidden="false" customHeight="false" outlineLevel="0" collapsed="false">
      <c r="A148" s="2" t="s">
        <v>2243</v>
      </c>
      <c r="B148" s="2" t="s">
        <v>787</v>
      </c>
      <c r="C148" s="2" t="s">
        <v>2214</v>
      </c>
      <c r="D148" s="2" t="s">
        <v>2244</v>
      </c>
      <c r="E148" s="2" t="s">
        <v>793</v>
      </c>
      <c r="F148" s="2" t="s">
        <v>2197</v>
      </c>
      <c r="G148" s="5" t="n">
        <v>46067</v>
      </c>
      <c r="H148" s="5" t="n">
        <v>46127</v>
      </c>
      <c r="I148" s="2" t="n">
        <v>60</v>
      </c>
      <c r="J148" s="2" t="s">
        <v>41</v>
      </c>
      <c r="K148" s="6" t="n">
        <v>35518</v>
      </c>
      <c r="L148" s="2" t="s">
        <v>137</v>
      </c>
      <c r="M148" s="2" t="s">
        <v>797</v>
      </c>
      <c r="N148" s="2" t="s">
        <v>798</v>
      </c>
      <c r="O148" s="7" t="b">
        <f aca="false">TRUE()</f>
        <v>1</v>
      </c>
      <c r="P148" s="2" t="n">
        <v>168</v>
      </c>
      <c r="Q148" s="2" t="s">
        <v>2201</v>
      </c>
      <c r="R148" s="2"/>
    </row>
    <row r="149" customFormat="false" ht="15" hidden="false" customHeight="false" outlineLevel="0" collapsed="false">
      <c r="A149" s="2" t="s">
        <v>2243</v>
      </c>
      <c r="B149" s="2" t="s">
        <v>787</v>
      </c>
      <c r="C149" s="2" t="s">
        <v>2214</v>
      </c>
      <c r="D149" s="2" t="s">
        <v>2244</v>
      </c>
      <c r="E149" s="2" t="s">
        <v>799</v>
      </c>
      <c r="F149" s="2" t="s">
        <v>2197</v>
      </c>
      <c r="G149" s="5" t="n">
        <v>46108</v>
      </c>
      <c r="H149" s="5" t="n">
        <v>46168</v>
      </c>
      <c r="I149" s="2" t="n">
        <v>60</v>
      </c>
      <c r="J149" s="2" t="s">
        <v>41</v>
      </c>
      <c r="K149" s="6" t="n">
        <v>40612.07</v>
      </c>
      <c r="L149" s="2" t="s">
        <v>137</v>
      </c>
      <c r="M149" s="2" t="s">
        <v>804</v>
      </c>
      <c r="N149" s="2"/>
      <c r="O149" s="7" t="b">
        <f aca="false">FALSE()</f>
        <v>0</v>
      </c>
      <c r="P149" s="2" t="n">
        <v>127</v>
      </c>
      <c r="Q149" s="2" t="s">
        <v>2201</v>
      </c>
      <c r="R149" s="2" t="s">
        <v>2208</v>
      </c>
    </row>
    <row r="150" customFormat="false" ht="15" hidden="false" customHeight="false" outlineLevel="0" collapsed="false">
      <c r="A150" s="2" t="s">
        <v>2243</v>
      </c>
      <c r="B150" s="2" t="s">
        <v>787</v>
      </c>
      <c r="C150" s="2" t="s">
        <v>2214</v>
      </c>
      <c r="D150" s="2" t="s">
        <v>2244</v>
      </c>
      <c r="E150" s="2" t="s">
        <v>805</v>
      </c>
      <c r="F150" s="2" t="s">
        <v>2197</v>
      </c>
      <c r="G150" s="5" t="n">
        <v>46128</v>
      </c>
      <c r="H150" s="5" t="n">
        <v>46188</v>
      </c>
      <c r="I150" s="2" t="n">
        <v>60</v>
      </c>
      <c r="J150" s="2" t="s">
        <v>41</v>
      </c>
      <c r="K150" s="6" t="n">
        <v>227080.33</v>
      </c>
      <c r="L150" s="2" t="s">
        <v>2204</v>
      </c>
      <c r="M150" s="2" t="s">
        <v>809</v>
      </c>
      <c r="N150" s="2" t="s">
        <v>57</v>
      </c>
      <c r="O150" s="7" t="b">
        <f aca="false">FALSE()</f>
        <v>0</v>
      </c>
      <c r="P150" s="2" t="n">
        <v>107</v>
      </c>
      <c r="Q150" s="2" t="s">
        <v>2201</v>
      </c>
      <c r="R150" s="2"/>
    </row>
    <row r="151" customFormat="false" ht="15" hidden="false" customHeight="false" outlineLevel="0" collapsed="false">
      <c r="A151" s="2" t="s">
        <v>2243</v>
      </c>
      <c r="B151" s="2" t="s">
        <v>787</v>
      </c>
      <c r="C151" s="2" t="s">
        <v>2214</v>
      </c>
      <c r="D151" s="2" t="s">
        <v>2244</v>
      </c>
      <c r="E151" s="2" t="s">
        <v>810</v>
      </c>
      <c r="F151" s="2" t="s">
        <v>2197</v>
      </c>
      <c r="G151" s="5" t="n">
        <v>46151</v>
      </c>
      <c r="H151" s="5" t="n">
        <v>46211</v>
      </c>
      <c r="I151" s="2" t="n">
        <v>60</v>
      </c>
      <c r="J151" s="2" t="s">
        <v>41</v>
      </c>
      <c r="K151" s="6" t="n">
        <v>54398</v>
      </c>
      <c r="L151" s="2" t="s">
        <v>2204</v>
      </c>
      <c r="M151" s="2" t="s">
        <v>307</v>
      </c>
      <c r="N151" s="2"/>
      <c r="O151" s="7" t="b">
        <f aca="false">FALSE()</f>
        <v>0</v>
      </c>
      <c r="P151" s="2" t="n">
        <v>84</v>
      </c>
      <c r="Q151" s="2" t="s">
        <v>2203</v>
      </c>
      <c r="R151" s="2"/>
    </row>
    <row r="152" customFormat="false" ht="15" hidden="false" customHeight="false" outlineLevel="0" collapsed="false">
      <c r="A152" s="2" t="s">
        <v>2243</v>
      </c>
      <c r="B152" s="2" t="s">
        <v>787</v>
      </c>
      <c r="C152" s="2" t="s">
        <v>2214</v>
      </c>
      <c r="D152" s="2" t="s">
        <v>2244</v>
      </c>
      <c r="E152" s="2" t="s">
        <v>813</v>
      </c>
      <c r="F152" s="2" t="s">
        <v>2197</v>
      </c>
      <c r="G152" s="5" t="n">
        <v>46170</v>
      </c>
      <c r="H152" s="5" t="n">
        <v>46230</v>
      </c>
      <c r="I152" s="2" t="n">
        <v>60</v>
      </c>
      <c r="J152" s="2" t="s">
        <v>41</v>
      </c>
      <c r="K152" s="6" t="n">
        <v>873600</v>
      </c>
      <c r="L152" s="2" t="s">
        <v>137</v>
      </c>
      <c r="M152" s="2"/>
      <c r="N152" s="2"/>
      <c r="O152" s="7" t="b">
        <f aca="false">FALSE()</f>
        <v>0</v>
      </c>
      <c r="P152" s="2" t="n">
        <v>65</v>
      </c>
      <c r="Q152" s="2" t="s">
        <v>2203</v>
      </c>
      <c r="R152" s="2"/>
    </row>
    <row r="153" customFormat="false" ht="15" hidden="false" customHeight="false" outlineLevel="0" collapsed="false">
      <c r="A153" s="2" t="s">
        <v>2243</v>
      </c>
      <c r="B153" s="2" t="s">
        <v>787</v>
      </c>
      <c r="C153" s="2" t="s">
        <v>2214</v>
      </c>
      <c r="D153" s="2" t="s">
        <v>2244</v>
      </c>
      <c r="E153" s="2" t="s">
        <v>818</v>
      </c>
      <c r="F153" s="2" t="s">
        <v>2212</v>
      </c>
      <c r="G153" s="5" t="n">
        <v>46185</v>
      </c>
      <c r="H153" s="5" t="n">
        <v>46185</v>
      </c>
      <c r="I153" s="2" t="n">
        <v>0</v>
      </c>
      <c r="J153" s="2" t="s">
        <v>41</v>
      </c>
      <c r="K153" s="6" t="n">
        <v>-41196.19</v>
      </c>
      <c r="L153" s="2" t="s">
        <v>137</v>
      </c>
      <c r="M153" s="2"/>
      <c r="N153" s="2"/>
      <c r="O153" s="7" t="b">
        <f aca="false">FALSE()</f>
        <v>0</v>
      </c>
      <c r="P153" s="2" t="n">
        <v>110</v>
      </c>
      <c r="Q153" s="2" t="s">
        <v>2201</v>
      </c>
      <c r="R153" s="2"/>
    </row>
    <row r="154" customFormat="false" ht="15" hidden="false" customHeight="false" outlineLevel="0" collapsed="false">
      <c r="A154" s="2" t="s">
        <v>2243</v>
      </c>
      <c r="B154" s="2" t="s">
        <v>787</v>
      </c>
      <c r="C154" s="2" t="s">
        <v>2214</v>
      </c>
      <c r="D154" s="2" t="s">
        <v>2244</v>
      </c>
      <c r="E154" s="2" t="s">
        <v>821</v>
      </c>
      <c r="F154" s="2" t="s">
        <v>2197</v>
      </c>
      <c r="G154" s="5" t="n">
        <v>46205</v>
      </c>
      <c r="H154" s="5" t="n">
        <v>46265</v>
      </c>
      <c r="I154" s="2" t="n">
        <v>60</v>
      </c>
      <c r="J154" s="2" t="s">
        <v>41</v>
      </c>
      <c r="K154" s="6" t="n">
        <v>91294.81</v>
      </c>
      <c r="L154" s="2" t="s">
        <v>137</v>
      </c>
      <c r="M154" s="2"/>
      <c r="N154" s="2"/>
      <c r="O154" s="7" t="b">
        <f aca="false">FALSE()</f>
        <v>0</v>
      </c>
      <c r="P154" s="2" t="n">
        <v>30</v>
      </c>
      <c r="Q154" s="2" t="s">
        <v>2207</v>
      </c>
      <c r="R154" s="2"/>
    </row>
    <row r="155" customFormat="false" ht="15" hidden="false" customHeight="false" outlineLevel="0" collapsed="false">
      <c r="A155" s="2" t="s">
        <v>2243</v>
      </c>
      <c r="B155" s="2" t="s">
        <v>787</v>
      </c>
      <c r="C155" s="2" t="s">
        <v>2214</v>
      </c>
      <c r="D155" s="2" t="s">
        <v>2244</v>
      </c>
      <c r="E155" s="2" t="s">
        <v>2245</v>
      </c>
      <c r="F155" s="2" t="s">
        <v>2197</v>
      </c>
      <c r="G155" s="5" t="n">
        <v>46222</v>
      </c>
      <c r="H155" s="5" t="n">
        <v>46282</v>
      </c>
      <c r="I155" s="2" t="n">
        <v>60</v>
      </c>
      <c r="J155" s="2" t="s">
        <v>41</v>
      </c>
      <c r="K155" s="6" t="n">
        <v>32368</v>
      </c>
      <c r="L155" s="2" t="s">
        <v>137</v>
      </c>
      <c r="M155" s="2"/>
      <c r="N155" s="2"/>
      <c r="O155" s="7" t="b">
        <f aca="false">FALSE()</f>
        <v>0</v>
      </c>
      <c r="P155" s="2" t="n">
        <v>13</v>
      </c>
      <c r="Q155" s="2" t="s">
        <v>2207</v>
      </c>
      <c r="R155" s="2"/>
    </row>
    <row r="156" customFormat="false" ht="15" hidden="false" customHeight="false" outlineLevel="0" collapsed="false">
      <c r="A156" s="2" t="s">
        <v>2243</v>
      </c>
      <c r="B156" s="2" t="s">
        <v>787</v>
      </c>
      <c r="C156" s="2" t="s">
        <v>2214</v>
      </c>
      <c r="D156" s="2" t="s">
        <v>2244</v>
      </c>
      <c r="E156" s="2" t="s">
        <v>832</v>
      </c>
      <c r="F156" s="2" t="s">
        <v>2222</v>
      </c>
      <c r="G156" s="5" t="n">
        <v>46224</v>
      </c>
      <c r="H156" s="5" t="n">
        <v>46224</v>
      </c>
      <c r="I156" s="2" t="n">
        <v>0</v>
      </c>
      <c r="J156" s="2" t="s">
        <v>41</v>
      </c>
      <c r="K156" s="6" t="n">
        <v>-140000</v>
      </c>
      <c r="L156" s="2" t="s">
        <v>137</v>
      </c>
      <c r="M156" s="2" t="s">
        <v>834</v>
      </c>
      <c r="N156" s="2"/>
      <c r="O156" s="7" t="b">
        <f aca="false">FALSE()</f>
        <v>0</v>
      </c>
      <c r="P156" s="2" t="n">
        <v>71</v>
      </c>
      <c r="Q156" s="2" t="s">
        <v>2203</v>
      </c>
      <c r="R156" s="2"/>
    </row>
    <row r="157" customFormat="false" ht="15" hidden="false" customHeight="false" outlineLevel="0" collapsed="false">
      <c r="A157" s="2" t="s">
        <v>2243</v>
      </c>
      <c r="B157" s="2" t="s">
        <v>787</v>
      </c>
      <c r="C157" s="2" t="s">
        <v>2214</v>
      </c>
      <c r="D157" s="2" t="s">
        <v>2244</v>
      </c>
      <c r="E157" s="2" t="s">
        <v>828</v>
      </c>
      <c r="F157" s="2" t="s">
        <v>2197</v>
      </c>
      <c r="G157" s="5" t="n">
        <v>46237</v>
      </c>
      <c r="H157" s="5" t="n">
        <v>46297</v>
      </c>
      <c r="I157" s="2" t="n">
        <v>60</v>
      </c>
      <c r="J157" s="2" t="s">
        <v>41</v>
      </c>
      <c r="K157" s="6" t="n">
        <v>9667.42</v>
      </c>
      <c r="L157" s="2" t="s">
        <v>137</v>
      </c>
      <c r="M157" s="2" t="s">
        <v>831</v>
      </c>
      <c r="N157" s="2"/>
      <c r="O157" s="7" t="b">
        <f aca="false">FALSE()</f>
        <v>0</v>
      </c>
      <c r="P157" s="2" t="n">
        <v>-2</v>
      </c>
      <c r="Q157" s="2" t="s">
        <v>2209</v>
      </c>
      <c r="R157" s="2"/>
    </row>
    <row r="158" customFormat="false" ht="15" hidden="false" customHeight="false" outlineLevel="0" collapsed="false">
      <c r="A158" s="2" t="s">
        <v>2243</v>
      </c>
      <c r="B158" s="2" t="s">
        <v>787</v>
      </c>
      <c r="C158" s="2" t="s">
        <v>2214</v>
      </c>
      <c r="D158" s="2" t="s">
        <v>2244</v>
      </c>
      <c r="E158" s="2" t="s">
        <v>2246</v>
      </c>
      <c r="F158" s="2" t="s">
        <v>2197</v>
      </c>
      <c r="G158" s="5" t="n">
        <v>46243</v>
      </c>
      <c r="H158" s="5" t="n">
        <v>46303</v>
      </c>
      <c r="I158" s="2" t="n">
        <v>60</v>
      </c>
      <c r="J158" s="2" t="s">
        <v>41</v>
      </c>
      <c r="K158" s="6" t="n">
        <v>43934.86</v>
      </c>
      <c r="L158" s="2" t="s">
        <v>502</v>
      </c>
      <c r="M158" s="2" t="s">
        <v>838</v>
      </c>
      <c r="N158" s="2"/>
      <c r="O158" s="7" t="b">
        <f aca="false">FALSE()</f>
        <v>0</v>
      </c>
      <c r="P158" s="2" t="n">
        <v>-8</v>
      </c>
      <c r="Q158" s="2" t="s">
        <v>2209</v>
      </c>
      <c r="R158" s="2" t="s">
        <v>2233</v>
      </c>
    </row>
    <row r="159" customFormat="false" ht="15" hidden="false" customHeight="false" outlineLevel="0" collapsed="false">
      <c r="A159" s="2" t="s">
        <v>2243</v>
      </c>
      <c r="B159" s="2" t="s">
        <v>787</v>
      </c>
      <c r="C159" s="2" t="s">
        <v>2214</v>
      </c>
      <c r="D159" s="2" t="s">
        <v>2244</v>
      </c>
      <c r="E159" s="2" t="s">
        <v>2247</v>
      </c>
      <c r="F159" s="2" t="s">
        <v>2197</v>
      </c>
      <c r="G159" s="5" t="n">
        <v>46249</v>
      </c>
      <c r="H159" s="5" t="n">
        <v>46309</v>
      </c>
      <c r="I159" s="2" t="n">
        <v>60</v>
      </c>
      <c r="J159" s="2" t="s">
        <v>41</v>
      </c>
      <c r="K159" s="6" t="n">
        <v>36816</v>
      </c>
      <c r="L159" s="2" t="s">
        <v>137</v>
      </c>
      <c r="M159" s="2" t="s">
        <v>843</v>
      </c>
      <c r="N159" s="2"/>
      <c r="O159" s="7" t="b">
        <f aca="false">FALSE()</f>
        <v>0</v>
      </c>
      <c r="P159" s="2" t="n">
        <v>-14</v>
      </c>
      <c r="Q159" s="2" t="s">
        <v>2209</v>
      </c>
      <c r="R159" s="2"/>
    </row>
    <row r="160" customFormat="false" ht="15" hidden="false" customHeight="false" outlineLevel="0" collapsed="false">
      <c r="A160" s="2" t="s">
        <v>2243</v>
      </c>
      <c r="B160" s="2" t="s">
        <v>787</v>
      </c>
      <c r="C160" s="2" t="s">
        <v>2214</v>
      </c>
      <c r="D160" s="2" t="s">
        <v>2244</v>
      </c>
      <c r="E160" s="2" t="s">
        <v>845</v>
      </c>
      <c r="F160" s="2" t="s">
        <v>2197</v>
      </c>
      <c r="G160" s="5" t="n">
        <v>46261</v>
      </c>
      <c r="H160" s="5" t="n">
        <v>46321</v>
      </c>
      <c r="I160" s="2" t="n">
        <v>60</v>
      </c>
      <c r="J160" s="2" t="s">
        <v>41</v>
      </c>
      <c r="K160" s="6" t="n">
        <v>38640</v>
      </c>
      <c r="L160" s="2" t="s">
        <v>137</v>
      </c>
      <c r="M160" s="2" t="s">
        <v>847</v>
      </c>
      <c r="N160" s="2"/>
      <c r="O160" s="7" t="b">
        <f aca="false">FALSE()</f>
        <v>0</v>
      </c>
      <c r="P160" s="2" t="n">
        <v>-26</v>
      </c>
      <c r="Q160" s="2" t="s">
        <v>2209</v>
      </c>
      <c r="R160" s="2"/>
    </row>
    <row r="161" customFormat="false" ht="15" hidden="false" customHeight="false" outlineLevel="0" collapsed="false">
      <c r="A161" s="2" t="s">
        <v>2243</v>
      </c>
      <c r="B161" s="2" t="s">
        <v>787</v>
      </c>
      <c r="C161" s="2" t="s">
        <v>2214</v>
      </c>
      <c r="D161" s="2" t="s">
        <v>2244</v>
      </c>
      <c r="E161" s="2" t="s">
        <v>856</v>
      </c>
      <c r="F161" s="2" t="s">
        <v>2197</v>
      </c>
      <c r="G161" s="5" t="n">
        <v>46266</v>
      </c>
      <c r="H161" s="5" t="n">
        <v>46326</v>
      </c>
      <c r="I161" s="2" t="n">
        <v>60</v>
      </c>
      <c r="J161" s="2" t="s">
        <v>41</v>
      </c>
      <c r="K161" s="6" t="n">
        <v>194110</v>
      </c>
      <c r="L161" s="2" t="s">
        <v>43</v>
      </c>
      <c r="M161" s="2" t="s">
        <v>859</v>
      </c>
      <c r="N161" s="2"/>
      <c r="O161" s="7" t="b">
        <f aca="false">FALSE()</f>
        <v>0</v>
      </c>
      <c r="P161" s="2" t="n">
        <v>-31</v>
      </c>
      <c r="Q161" s="2" t="s">
        <v>2209</v>
      </c>
      <c r="R161" s="2"/>
    </row>
    <row r="162" customFormat="false" ht="15" hidden="false" customHeight="false" outlineLevel="0" collapsed="false">
      <c r="A162" s="2" t="s">
        <v>2243</v>
      </c>
      <c r="B162" s="2" t="s">
        <v>787</v>
      </c>
      <c r="C162" s="2" t="s">
        <v>2214</v>
      </c>
      <c r="D162" s="2" t="s">
        <v>2244</v>
      </c>
      <c r="E162" s="2" t="s">
        <v>848</v>
      </c>
      <c r="F162" s="2" t="s">
        <v>2197</v>
      </c>
      <c r="G162" s="5" t="n">
        <v>46273</v>
      </c>
      <c r="H162" s="5" t="n">
        <v>46333</v>
      </c>
      <c r="I162" s="2" t="n">
        <v>60</v>
      </c>
      <c r="J162" s="2" t="s">
        <v>41</v>
      </c>
      <c r="K162" s="6" t="n">
        <v>111194.75</v>
      </c>
      <c r="L162" s="2" t="s">
        <v>137</v>
      </c>
      <c r="M162" s="2" t="s">
        <v>852</v>
      </c>
      <c r="N162" s="2"/>
      <c r="O162" s="7" t="b">
        <f aca="false">FALSE()</f>
        <v>0</v>
      </c>
      <c r="P162" s="2" t="n">
        <v>-38</v>
      </c>
      <c r="Q162" s="2" t="s">
        <v>2209</v>
      </c>
      <c r="R162" s="2"/>
    </row>
    <row r="163" customFormat="false" ht="15" hidden="false" customHeight="false" outlineLevel="0" collapsed="false">
      <c r="A163" s="2" t="s">
        <v>2243</v>
      </c>
      <c r="B163" s="2" t="s">
        <v>787</v>
      </c>
      <c r="C163" s="2" t="s">
        <v>2214</v>
      </c>
      <c r="D163" s="2" t="s">
        <v>2244</v>
      </c>
      <c r="E163" s="2" t="s">
        <v>853</v>
      </c>
      <c r="F163" s="2" t="s">
        <v>2197</v>
      </c>
      <c r="G163" s="5" t="n">
        <v>46274</v>
      </c>
      <c r="H163" s="5" t="n">
        <v>46334</v>
      </c>
      <c r="I163" s="2" t="n">
        <v>60</v>
      </c>
      <c r="J163" s="2" t="s">
        <v>41</v>
      </c>
      <c r="K163" s="6" t="n">
        <v>439786</v>
      </c>
      <c r="L163" s="2" t="s">
        <v>137</v>
      </c>
      <c r="M163" s="2"/>
      <c r="N163" s="2"/>
      <c r="O163" s="7" t="b">
        <f aca="false">FALSE()</f>
        <v>0</v>
      </c>
      <c r="P163" s="2" t="n">
        <v>-39</v>
      </c>
      <c r="Q163" s="2" t="s">
        <v>2209</v>
      </c>
      <c r="R163" s="2"/>
    </row>
    <row r="164" customFormat="false" ht="15" hidden="false" customHeight="false" outlineLevel="0" collapsed="false">
      <c r="A164" s="2" t="s">
        <v>2243</v>
      </c>
      <c r="B164" s="2" t="s">
        <v>787</v>
      </c>
      <c r="C164" s="2" t="s">
        <v>2214</v>
      </c>
      <c r="D164" s="2" t="s">
        <v>2244</v>
      </c>
      <c r="E164" s="2" t="s">
        <v>860</v>
      </c>
      <c r="F164" s="2" t="s">
        <v>2197</v>
      </c>
      <c r="G164" s="5" t="n">
        <v>46277</v>
      </c>
      <c r="H164" s="5" t="n">
        <v>46337</v>
      </c>
      <c r="I164" s="2" t="n">
        <v>60</v>
      </c>
      <c r="J164" s="2" t="s">
        <v>41</v>
      </c>
      <c r="K164" s="6" t="n">
        <v>161188</v>
      </c>
      <c r="L164" s="2" t="s">
        <v>137</v>
      </c>
      <c r="M164" s="2" t="s">
        <v>862</v>
      </c>
      <c r="N164" s="2"/>
      <c r="O164" s="7" t="b">
        <f aca="false">FALSE()</f>
        <v>0</v>
      </c>
      <c r="P164" s="2" t="n">
        <v>-42</v>
      </c>
      <c r="Q164" s="2" t="s">
        <v>2209</v>
      </c>
      <c r="R164" s="2"/>
    </row>
    <row r="165" customFormat="false" ht="15" hidden="false" customHeight="false" outlineLevel="0" collapsed="false">
      <c r="A165" s="2" t="s">
        <v>2243</v>
      </c>
      <c r="B165" s="2" t="s">
        <v>787</v>
      </c>
      <c r="C165" s="2" t="s">
        <v>2214</v>
      </c>
      <c r="D165" s="2" t="s">
        <v>2244</v>
      </c>
      <c r="E165" s="2" t="s">
        <v>863</v>
      </c>
      <c r="F165" s="2" t="s">
        <v>2197</v>
      </c>
      <c r="G165" s="5" t="n">
        <v>46280</v>
      </c>
      <c r="H165" s="5" t="n">
        <v>46340</v>
      </c>
      <c r="I165" s="2" t="n">
        <v>60</v>
      </c>
      <c r="J165" s="2" t="s">
        <v>41</v>
      </c>
      <c r="K165" s="6" t="n">
        <v>20150.73</v>
      </c>
      <c r="L165" s="2" t="s">
        <v>1596</v>
      </c>
      <c r="M165" s="2" t="s">
        <v>866</v>
      </c>
      <c r="N165" s="2"/>
      <c r="O165" s="7" t="b">
        <f aca="false">FALSE()</f>
        <v>0</v>
      </c>
      <c r="P165" s="2" t="n">
        <v>-45</v>
      </c>
      <c r="Q165" s="2" t="s">
        <v>2209</v>
      </c>
      <c r="R165" s="2"/>
    </row>
    <row r="166" customFormat="false" ht="15" hidden="false" customHeight="false" outlineLevel="0" collapsed="false">
      <c r="A166" s="2" t="s">
        <v>2243</v>
      </c>
      <c r="B166" s="2" t="s">
        <v>787</v>
      </c>
      <c r="C166" s="2" t="s">
        <v>2214</v>
      </c>
      <c r="D166" s="2" t="s">
        <v>2244</v>
      </c>
      <c r="E166" s="2" t="s">
        <v>867</v>
      </c>
      <c r="F166" s="2" t="s">
        <v>2212</v>
      </c>
      <c r="G166" s="5" t="n">
        <v>46286</v>
      </c>
      <c r="H166" s="5" t="n">
        <v>46286</v>
      </c>
      <c r="I166" s="2" t="n">
        <v>0</v>
      </c>
      <c r="J166" s="2" t="s">
        <v>41</v>
      </c>
      <c r="K166" s="6" t="n">
        <v>-47600</v>
      </c>
      <c r="L166" s="2" t="s">
        <v>137</v>
      </c>
      <c r="M166" s="2" t="s">
        <v>226</v>
      </c>
      <c r="N166" s="2"/>
      <c r="O166" s="7" t="b">
        <f aca="false">FALSE()</f>
        <v>0</v>
      </c>
      <c r="P166" s="2" t="n">
        <v>9</v>
      </c>
      <c r="Q166" s="2" t="s">
        <v>2207</v>
      </c>
      <c r="R166" s="2"/>
    </row>
    <row r="167" customFormat="false" ht="15" hidden="false" customHeight="false" outlineLevel="0" collapsed="false">
      <c r="A167" s="2" t="s">
        <v>2243</v>
      </c>
      <c r="B167" s="2" t="s">
        <v>787</v>
      </c>
      <c r="C167" s="2" t="s">
        <v>2214</v>
      </c>
      <c r="D167" s="2" t="s">
        <v>2244</v>
      </c>
      <c r="E167" s="2" t="s">
        <v>869</v>
      </c>
      <c r="F167" s="2" t="s">
        <v>2197</v>
      </c>
      <c r="G167" s="5" t="n">
        <v>46292</v>
      </c>
      <c r="H167" s="5" t="n">
        <v>46352</v>
      </c>
      <c r="I167" s="2" t="n">
        <v>60</v>
      </c>
      <c r="J167" s="2" t="s">
        <v>41</v>
      </c>
      <c r="K167" s="6" t="n">
        <v>44800</v>
      </c>
      <c r="L167" s="2" t="s">
        <v>137</v>
      </c>
      <c r="M167" s="2" t="s">
        <v>873</v>
      </c>
      <c r="N167" s="2"/>
      <c r="O167" s="7" t="b">
        <f aca="false">FALSE()</f>
        <v>0</v>
      </c>
      <c r="P167" s="2" t="n">
        <v>-57</v>
      </c>
      <c r="Q167" s="2" t="s">
        <v>2209</v>
      </c>
      <c r="R167" s="2"/>
    </row>
    <row r="168" customFormat="false" ht="15" hidden="false" customHeight="false" outlineLevel="0" collapsed="false">
      <c r="A168" s="2" t="s">
        <v>2243</v>
      </c>
      <c r="B168" s="2" t="s">
        <v>787</v>
      </c>
      <c r="C168" s="2" t="s">
        <v>2214</v>
      </c>
      <c r="D168" s="2" t="s">
        <v>2244</v>
      </c>
      <c r="E168" s="2" t="s">
        <v>874</v>
      </c>
      <c r="F168" s="2" t="s">
        <v>2199</v>
      </c>
      <c r="G168" s="5" t="n">
        <v>46292</v>
      </c>
      <c r="H168" s="5" t="n">
        <v>46292</v>
      </c>
      <c r="I168" s="2" t="n">
        <v>0</v>
      </c>
      <c r="J168" s="2" t="s">
        <v>41</v>
      </c>
      <c r="K168" s="6" t="n">
        <v>-10145.13</v>
      </c>
      <c r="L168" s="2" t="s">
        <v>137</v>
      </c>
      <c r="M168" s="2"/>
      <c r="N168" s="2"/>
      <c r="O168" s="7" t="b">
        <f aca="false">FALSE()</f>
        <v>0</v>
      </c>
      <c r="P168" s="2" t="n">
        <v>3</v>
      </c>
      <c r="Q168" s="2" t="s">
        <v>2207</v>
      </c>
      <c r="R168" s="2"/>
    </row>
    <row r="169" customFormat="false" ht="15" hidden="false" customHeight="false" outlineLevel="0" collapsed="false">
      <c r="A169" s="2" t="s">
        <v>2243</v>
      </c>
      <c r="B169" s="2" t="s">
        <v>787</v>
      </c>
      <c r="C169" s="2" t="s">
        <v>2214</v>
      </c>
      <c r="D169" s="2" t="s">
        <v>2244</v>
      </c>
      <c r="E169" s="2" t="s">
        <v>876</v>
      </c>
      <c r="F169" s="2" t="s">
        <v>2197</v>
      </c>
      <c r="G169" s="5" t="n">
        <v>46295</v>
      </c>
      <c r="H169" s="5" t="n">
        <v>46355</v>
      </c>
      <c r="I169" s="2" t="n">
        <v>60</v>
      </c>
      <c r="J169" s="2" t="s">
        <v>41</v>
      </c>
      <c r="K169" s="6" t="n">
        <v>20060</v>
      </c>
      <c r="L169" s="2" t="s">
        <v>137</v>
      </c>
      <c r="M169" s="2" t="s">
        <v>879</v>
      </c>
      <c r="N169" s="2"/>
      <c r="O169" s="7" t="b">
        <f aca="false">FALSE()</f>
        <v>0</v>
      </c>
      <c r="P169" s="2" t="n">
        <v>-60</v>
      </c>
      <c r="Q169" s="2" t="s">
        <v>2209</v>
      </c>
      <c r="R169" s="2"/>
    </row>
    <row r="170" customFormat="false" ht="15" hidden="false" customHeight="false" outlineLevel="0" collapsed="false">
      <c r="A170" s="2" t="s">
        <v>881</v>
      </c>
      <c r="B170" s="2" t="s">
        <v>882</v>
      </c>
      <c r="C170" s="2" t="s">
        <v>2195</v>
      </c>
      <c r="D170" s="2" t="s">
        <v>2211</v>
      </c>
      <c r="E170" s="2" t="s">
        <v>883</v>
      </c>
      <c r="F170" s="2" t="s">
        <v>2197</v>
      </c>
      <c r="G170" s="5" t="n">
        <v>46244</v>
      </c>
      <c r="H170" s="5" t="n">
        <v>46274</v>
      </c>
      <c r="I170" s="2" t="n">
        <v>30</v>
      </c>
      <c r="J170" s="2" t="s">
        <v>41</v>
      </c>
      <c r="K170" s="6" t="n">
        <v>29028</v>
      </c>
      <c r="L170" s="2" t="s">
        <v>43</v>
      </c>
      <c r="M170" s="2" t="s">
        <v>886</v>
      </c>
      <c r="N170" s="2"/>
      <c r="O170" s="7" t="b">
        <f aca="false">FALSE()</f>
        <v>0</v>
      </c>
      <c r="P170" s="2" t="n">
        <v>21</v>
      </c>
      <c r="Q170" s="2" t="s">
        <v>2207</v>
      </c>
      <c r="R170" s="2"/>
    </row>
    <row r="171" customFormat="false" ht="15" hidden="false" customHeight="false" outlineLevel="0" collapsed="false">
      <c r="A171" s="2" t="s">
        <v>887</v>
      </c>
      <c r="B171" s="2" t="s">
        <v>2248</v>
      </c>
      <c r="C171" s="2" t="s">
        <v>2210</v>
      </c>
      <c r="D171" s="2" t="s">
        <v>2215</v>
      </c>
      <c r="E171" s="2" t="s">
        <v>2249</v>
      </c>
      <c r="F171" s="2" t="s">
        <v>2197</v>
      </c>
      <c r="G171" s="5" t="n">
        <v>46207</v>
      </c>
      <c r="H171" s="5" t="n">
        <v>46267</v>
      </c>
      <c r="I171" s="2" t="n">
        <v>60</v>
      </c>
      <c r="J171" s="2" t="s">
        <v>41</v>
      </c>
      <c r="K171" s="6" t="n">
        <v>439668</v>
      </c>
      <c r="L171" s="2" t="s">
        <v>571</v>
      </c>
      <c r="M171" s="2" t="s">
        <v>893</v>
      </c>
      <c r="N171" s="2"/>
      <c r="O171" s="7" t="b">
        <f aca="false">FALSE()</f>
        <v>0</v>
      </c>
      <c r="P171" s="2" t="n">
        <v>28</v>
      </c>
      <c r="Q171" s="2" t="s">
        <v>2207</v>
      </c>
      <c r="R171" s="2"/>
    </row>
    <row r="172" customFormat="false" ht="15" hidden="false" customHeight="false" outlineLevel="0" collapsed="false">
      <c r="A172" s="2" t="s">
        <v>887</v>
      </c>
      <c r="B172" s="2" t="s">
        <v>2248</v>
      </c>
      <c r="C172" s="2" t="s">
        <v>2210</v>
      </c>
      <c r="D172" s="2" t="s">
        <v>2215</v>
      </c>
      <c r="E172" s="2" t="s">
        <v>897</v>
      </c>
      <c r="F172" s="2" t="s">
        <v>2197</v>
      </c>
      <c r="G172" s="5" t="n">
        <v>46210</v>
      </c>
      <c r="H172" s="5" t="n">
        <v>46270</v>
      </c>
      <c r="I172" s="2" t="n">
        <v>60</v>
      </c>
      <c r="J172" s="2" t="s">
        <v>41</v>
      </c>
      <c r="K172" s="6" t="n">
        <v>65608</v>
      </c>
      <c r="L172" s="2" t="s">
        <v>571</v>
      </c>
      <c r="M172" s="2"/>
      <c r="N172" s="2"/>
      <c r="O172" s="7" t="b">
        <f aca="false">FALSE()</f>
        <v>0</v>
      </c>
      <c r="P172" s="2" t="n">
        <v>25</v>
      </c>
      <c r="Q172" s="2" t="s">
        <v>2207</v>
      </c>
      <c r="R172" s="2"/>
    </row>
    <row r="173" customFormat="false" ht="15" hidden="false" customHeight="false" outlineLevel="0" collapsed="false">
      <c r="A173" s="2" t="s">
        <v>887</v>
      </c>
      <c r="B173" s="2" t="s">
        <v>2248</v>
      </c>
      <c r="C173" s="2" t="s">
        <v>2210</v>
      </c>
      <c r="D173" s="2" t="s">
        <v>2215</v>
      </c>
      <c r="E173" s="2" t="s">
        <v>894</v>
      </c>
      <c r="F173" s="2" t="s">
        <v>2197</v>
      </c>
      <c r="G173" s="5" t="n">
        <v>46217</v>
      </c>
      <c r="H173" s="5" t="n">
        <v>46277</v>
      </c>
      <c r="I173" s="2" t="n">
        <v>60</v>
      </c>
      <c r="J173" s="2" t="s">
        <v>41</v>
      </c>
      <c r="K173" s="6" t="n">
        <v>103040</v>
      </c>
      <c r="L173" s="2" t="s">
        <v>571</v>
      </c>
      <c r="M173" s="2" t="s">
        <v>896</v>
      </c>
      <c r="N173" s="2"/>
      <c r="O173" s="7" t="b">
        <f aca="false">FALSE()</f>
        <v>0</v>
      </c>
      <c r="P173" s="2" t="n">
        <v>18</v>
      </c>
      <c r="Q173" s="2" t="s">
        <v>2207</v>
      </c>
      <c r="R173" s="2"/>
    </row>
    <row r="174" customFormat="false" ht="15" hidden="false" customHeight="false" outlineLevel="0" collapsed="false">
      <c r="A174" s="2" t="s">
        <v>887</v>
      </c>
      <c r="B174" s="2" t="s">
        <v>2248</v>
      </c>
      <c r="C174" s="2" t="s">
        <v>2210</v>
      </c>
      <c r="D174" s="2" t="s">
        <v>2215</v>
      </c>
      <c r="E174" s="2" t="s">
        <v>900</v>
      </c>
      <c r="F174" s="2" t="s">
        <v>2197</v>
      </c>
      <c r="G174" s="5" t="n">
        <v>46224</v>
      </c>
      <c r="H174" s="5" t="n">
        <v>46284</v>
      </c>
      <c r="I174" s="2" t="n">
        <v>60</v>
      </c>
      <c r="J174" s="2" t="s">
        <v>41</v>
      </c>
      <c r="K174" s="6" t="n">
        <v>107262</v>
      </c>
      <c r="L174" s="2" t="s">
        <v>502</v>
      </c>
      <c r="M174" s="2" t="s">
        <v>903</v>
      </c>
      <c r="N174" s="2"/>
      <c r="O174" s="7" t="b">
        <f aca="false">FALSE()</f>
        <v>0</v>
      </c>
      <c r="P174" s="2" t="n">
        <v>11</v>
      </c>
      <c r="Q174" s="2" t="s">
        <v>2207</v>
      </c>
      <c r="R174" s="2"/>
    </row>
    <row r="175" customFormat="false" ht="15" hidden="false" customHeight="false" outlineLevel="0" collapsed="false">
      <c r="A175" s="2" t="s">
        <v>887</v>
      </c>
      <c r="B175" s="2" t="s">
        <v>2248</v>
      </c>
      <c r="C175" s="2" t="s">
        <v>2210</v>
      </c>
      <c r="D175" s="2" t="s">
        <v>2215</v>
      </c>
      <c r="E175" s="2" t="s">
        <v>904</v>
      </c>
      <c r="F175" s="2" t="s">
        <v>2197</v>
      </c>
      <c r="G175" s="5" t="n">
        <v>46235</v>
      </c>
      <c r="H175" s="5" t="n">
        <v>46280</v>
      </c>
      <c r="I175" s="2" t="n">
        <v>45</v>
      </c>
      <c r="J175" s="2" t="s">
        <v>41</v>
      </c>
      <c r="K175" s="6" t="n">
        <v>198476</v>
      </c>
      <c r="L175" s="2" t="s">
        <v>571</v>
      </c>
      <c r="M175" s="2"/>
      <c r="N175" s="2"/>
      <c r="O175" s="7" t="b">
        <f aca="false">FALSE()</f>
        <v>0</v>
      </c>
      <c r="P175" s="2" t="n">
        <v>15</v>
      </c>
      <c r="Q175" s="2" t="s">
        <v>2207</v>
      </c>
      <c r="R175" s="2"/>
    </row>
    <row r="176" customFormat="false" ht="15" hidden="false" customHeight="false" outlineLevel="0" collapsed="false">
      <c r="A176" s="2" t="s">
        <v>887</v>
      </c>
      <c r="B176" s="2" t="s">
        <v>2248</v>
      </c>
      <c r="C176" s="2" t="s">
        <v>2210</v>
      </c>
      <c r="D176" s="2" t="s">
        <v>2215</v>
      </c>
      <c r="E176" s="2" t="s">
        <v>907</v>
      </c>
      <c r="F176" s="2" t="s">
        <v>2199</v>
      </c>
      <c r="G176" s="5" t="n">
        <v>46244</v>
      </c>
      <c r="H176" s="5" t="n">
        <v>46244</v>
      </c>
      <c r="I176" s="2" t="n">
        <v>0</v>
      </c>
      <c r="J176" s="2" t="s">
        <v>41</v>
      </c>
      <c r="K176" s="6" t="n">
        <v>-18789.35</v>
      </c>
      <c r="L176" s="2" t="s">
        <v>137</v>
      </c>
      <c r="M176" s="2"/>
      <c r="N176" s="2"/>
      <c r="O176" s="7" t="b">
        <f aca="false">FALSE()</f>
        <v>0</v>
      </c>
      <c r="P176" s="2" t="n">
        <v>51</v>
      </c>
      <c r="Q176" s="2" t="s">
        <v>2205</v>
      </c>
      <c r="R176" s="2"/>
    </row>
    <row r="177" customFormat="false" ht="15" hidden="false" customHeight="false" outlineLevel="0" collapsed="false">
      <c r="A177" s="2" t="s">
        <v>887</v>
      </c>
      <c r="B177" s="2" t="s">
        <v>2248</v>
      </c>
      <c r="C177" s="2" t="s">
        <v>2210</v>
      </c>
      <c r="D177" s="2" t="s">
        <v>2215</v>
      </c>
      <c r="E177" s="2" t="s">
        <v>909</v>
      </c>
      <c r="F177" s="2" t="s">
        <v>2197</v>
      </c>
      <c r="G177" s="5" t="n">
        <v>46281</v>
      </c>
      <c r="H177" s="5" t="n">
        <v>46341</v>
      </c>
      <c r="I177" s="2" t="n">
        <v>60</v>
      </c>
      <c r="J177" s="2" t="s">
        <v>41</v>
      </c>
      <c r="K177" s="6" t="n">
        <v>21948</v>
      </c>
      <c r="L177" s="2" t="s">
        <v>571</v>
      </c>
      <c r="M177" s="2" t="s">
        <v>913</v>
      </c>
      <c r="N177" s="2"/>
      <c r="O177" s="7" t="b">
        <f aca="false">FALSE()</f>
        <v>0</v>
      </c>
      <c r="P177" s="2" t="n">
        <v>-46</v>
      </c>
      <c r="Q177" s="2" t="s">
        <v>2209</v>
      </c>
      <c r="R177" s="2"/>
    </row>
    <row r="178" customFormat="false" ht="15" hidden="false" customHeight="false" outlineLevel="0" collapsed="false">
      <c r="A178" s="2" t="s">
        <v>887</v>
      </c>
      <c r="B178" s="2" t="s">
        <v>2248</v>
      </c>
      <c r="C178" s="2" t="s">
        <v>2210</v>
      </c>
      <c r="D178" s="2" t="s">
        <v>2215</v>
      </c>
      <c r="E178" s="2" t="s">
        <v>914</v>
      </c>
      <c r="F178" s="2" t="s">
        <v>2197</v>
      </c>
      <c r="G178" s="5" t="n">
        <v>46286</v>
      </c>
      <c r="H178" s="5" t="n">
        <v>46346</v>
      </c>
      <c r="I178" s="2" t="n">
        <v>60</v>
      </c>
      <c r="J178" s="2" t="s">
        <v>41</v>
      </c>
      <c r="K178" s="6" t="n">
        <v>8960</v>
      </c>
      <c r="L178" s="2" t="s">
        <v>571</v>
      </c>
      <c r="M178" s="2"/>
      <c r="N178" s="2"/>
      <c r="O178" s="7" t="b">
        <f aca="false">FALSE()</f>
        <v>0</v>
      </c>
      <c r="P178" s="2" t="n">
        <v>-51</v>
      </c>
      <c r="Q178" s="2" t="s">
        <v>2209</v>
      </c>
      <c r="R178" s="2"/>
    </row>
    <row r="179" customFormat="false" ht="15" hidden="false" customHeight="false" outlineLevel="0" collapsed="false">
      <c r="A179" s="2" t="s">
        <v>887</v>
      </c>
      <c r="B179" s="2" t="s">
        <v>2248</v>
      </c>
      <c r="C179" s="2" t="s">
        <v>2210</v>
      </c>
      <c r="D179" s="2" t="s">
        <v>2215</v>
      </c>
      <c r="E179" s="2" t="s">
        <v>919</v>
      </c>
      <c r="F179" s="2" t="s">
        <v>2197</v>
      </c>
      <c r="G179" s="5" t="n">
        <v>46287</v>
      </c>
      <c r="H179" s="5" t="n">
        <v>46347</v>
      </c>
      <c r="I179" s="2" t="n">
        <v>60</v>
      </c>
      <c r="J179" s="2" t="s">
        <v>41</v>
      </c>
      <c r="K179" s="6" t="n">
        <v>19706</v>
      </c>
      <c r="L179" s="2" t="s">
        <v>571</v>
      </c>
      <c r="M179" s="2" t="s">
        <v>923</v>
      </c>
      <c r="N179" s="2"/>
      <c r="O179" s="7" t="b">
        <f aca="false">FALSE()</f>
        <v>0</v>
      </c>
      <c r="P179" s="2" t="n">
        <v>-52</v>
      </c>
      <c r="Q179" s="2" t="s">
        <v>2209</v>
      </c>
      <c r="R179" s="2"/>
    </row>
    <row r="180" customFormat="false" ht="15" hidden="false" customHeight="false" outlineLevel="0" collapsed="false">
      <c r="A180" s="2" t="s">
        <v>887</v>
      </c>
      <c r="B180" s="2" t="s">
        <v>2248</v>
      </c>
      <c r="C180" s="2" t="s">
        <v>2210</v>
      </c>
      <c r="D180" s="2" t="s">
        <v>2215</v>
      </c>
      <c r="E180" s="2" t="s">
        <v>916</v>
      </c>
      <c r="F180" s="2" t="s">
        <v>2222</v>
      </c>
      <c r="G180" s="5" t="n">
        <v>46290</v>
      </c>
      <c r="H180" s="5" t="n">
        <v>46290</v>
      </c>
      <c r="I180" s="2" t="n">
        <v>0</v>
      </c>
      <c r="J180" s="2" t="s">
        <v>41</v>
      </c>
      <c r="K180" s="6" t="n">
        <v>-53900</v>
      </c>
      <c r="L180" s="2" t="s">
        <v>571</v>
      </c>
      <c r="M180" s="2"/>
      <c r="N180" s="2"/>
      <c r="O180" s="7" t="b">
        <f aca="false">FALSE()</f>
        <v>0</v>
      </c>
      <c r="P180" s="2" t="n">
        <v>5</v>
      </c>
      <c r="Q180" s="2" t="s">
        <v>2207</v>
      </c>
      <c r="R180" s="2" t="s">
        <v>2223</v>
      </c>
    </row>
    <row r="181" customFormat="false" ht="15" hidden="false" customHeight="false" outlineLevel="0" collapsed="false">
      <c r="A181" s="2" t="s">
        <v>887</v>
      </c>
      <c r="B181" s="2" t="s">
        <v>2248</v>
      </c>
      <c r="C181" s="2" t="s">
        <v>2210</v>
      </c>
      <c r="D181" s="2" t="s">
        <v>2215</v>
      </c>
      <c r="E181" s="2" t="s">
        <v>924</v>
      </c>
      <c r="F181" s="2" t="s">
        <v>2197</v>
      </c>
      <c r="G181" s="5" t="n">
        <v>46295</v>
      </c>
      <c r="H181" s="5" t="n">
        <v>46355</v>
      </c>
      <c r="I181" s="2" t="n">
        <v>60</v>
      </c>
      <c r="J181" s="2" t="s">
        <v>41</v>
      </c>
      <c r="K181" s="6" t="n">
        <v>35200.44</v>
      </c>
      <c r="L181" s="2" t="s">
        <v>571</v>
      </c>
      <c r="M181" s="2" t="s">
        <v>926</v>
      </c>
      <c r="N181" s="2"/>
      <c r="O181" s="7" t="b">
        <f aca="false">FALSE()</f>
        <v>0</v>
      </c>
      <c r="P181" s="2" t="n">
        <v>-60</v>
      </c>
      <c r="Q181" s="2" t="s">
        <v>2209</v>
      </c>
      <c r="R181" s="2"/>
    </row>
    <row r="182" customFormat="false" ht="15" hidden="false" customHeight="false" outlineLevel="0" collapsed="false">
      <c r="A182" s="2" t="s">
        <v>928</v>
      </c>
      <c r="B182" s="2" t="s">
        <v>929</v>
      </c>
      <c r="C182" s="2" t="s">
        <v>2213</v>
      </c>
      <c r="D182" s="2" t="s">
        <v>2250</v>
      </c>
      <c r="E182" s="2" t="s">
        <v>930</v>
      </c>
      <c r="F182" s="2" t="s">
        <v>2197</v>
      </c>
      <c r="G182" s="5" t="n">
        <v>45818</v>
      </c>
      <c r="H182" s="5" t="n">
        <v>45863</v>
      </c>
      <c r="I182" s="2" t="n">
        <v>45</v>
      </c>
      <c r="J182" s="2" t="s">
        <v>41</v>
      </c>
      <c r="K182" s="6" t="n">
        <v>107876.25</v>
      </c>
      <c r="L182" s="2" t="s">
        <v>162</v>
      </c>
      <c r="M182" s="2"/>
      <c r="N182" s="2"/>
      <c r="O182" s="7" t="b">
        <f aca="false">FALSE()</f>
        <v>0</v>
      </c>
      <c r="P182" s="2" t="n">
        <v>432</v>
      </c>
      <c r="Q182" s="2" t="s">
        <v>2198</v>
      </c>
      <c r="R182" s="2"/>
    </row>
    <row r="183" customFormat="false" ht="15" hidden="false" customHeight="false" outlineLevel="0" collapsed="false">
      <c r="A183" s="2" t="s">
        <v>928</v>
      </c>
      <c r="B183" s="2" t="s">
        <v>929</v>
      </c>
      <c r="C183" s="2" t="s">
        <v>2213</v>
      </c>
      <c r="D183" s="2" t="s">
        <v>2250</v>
      </c>
      <c r="E183" s="2" t="s">
        <v>934</v>
      </c>
      <c r="F183" s="2" t="s">
        <v>2197</v>
      </c>
      <c r="G183" s="5" t="n">
        <v>45941</v>
      </c>
      <c r="H183" s="5" t="n">
        <v>45986</v>
      </c>
      <c r="I183" s="2" t="n">
        <v>45</v>
      </c>
      <c r="J183" s="2" t="s">
        <v>41</v>
      </c>
      <c r="K183" s="6" t="n">
        <v>26656</v>
      </c>
      <c r="L183" s="2" t="s">
        <v>162</v>
      </c>
      <c r="M183" s="2"/>
      <c r="N183" s="2"/>
      <c r="O183" s="7" t="b">
        <f aca="false">FALSE()</f>
        <v>0</v>
      </c>
      <c r="P183" s="2" t="n">
        <v>309</v>
      </c>
      <c r="Q183" s="2" t="s">
        <v>2198</v>
      </c>
      <c r="R183" s="2" t="s">
        <v>2202</v>
      </c>
    </row>
    <row r="184" customFormat="false" ht="15" hidden="false" customHeight="false" outlineLevel="0" collapsed="false">
      <c r="A184" s="2" t="s">
        <v>928</v>
      </c>
      <c r="B184" s="2" t="s">
        <v>929</v>
      </c>
      <c r="C184" s="2" t="s">
        <v>2213</v>
      </c>
      <c r="D184" s="2" t="s">
        <v>2250</v>
      </c>
      <c r="E184" s="2" t="s">
        <v>937</v>
      </c>
      <c r="F184" s="2" t="s">
        <v>2197</v>
      </c>
      <c r="G184" s="5" t="n">
        <v>46097</v>
      </c>
      <c r="H184" s="5" t="n">
        <v>46142</v>
      </c>
      <c r="I184" s="2" t="n">
        <v>45</v>
      </c>
      <c r="J184" s="2" t="s">
        <v>41</v>
      </c>
      <c r="K184" s="6" t="n">
        <v>442500</v>
      </c>
      <c r="L184" s="2" t="s">
        <v>502</v>
      </c>
      <c r="M184" s="2"/>
      <c r="N184" s="2"/>
      <c r="O184" s="7" t="b">
        <f aca="false">FALSE()</f>
        <v>0</v>
      </c>
      <c r="P184" s="2" t="n">
        <v>153</v>
      </c>
      <c r="Q184" s="2" t="s">
        <v>2201</v>
      </c>
      <c r="R184" s="2"/>
    </row>
    <row r="185" customFormat="false" ht="15" hidden="false" customHeight="false" outlineLevel="0" collapsed="false">
      <c r="A185" s="2" t="s">
        <v>928</v>
      </c>
      <c r="B185" s="2" t="s">
        <v>929</v>
      </c>
      <c r="C185" s="2" t="s">
        <v>2213</v>
      </c>
      <c r="D185" s="2" t="s">
        <v>2250</v>
      </c>
      <c r="E185" s="2" t="s">
        <v>946</v>
      </c>
      <c r="F185" s="2" t="s">
        <v>2197</v>
      </c>
      <c r="G185" s="5" t="n">
        <v>46148</v>
      </c>
      <c r="H185" s="5" t="n">
        <v>46208</v>
      </c>
      <c r="I185" s="2" t="n">
        <v>60</v>
      </c>
      <c r="J185" s="2" t="s">
        <v>41</v>
      </c>
      <c r="K185" s="6" t="n">
        <v>530866</v>
      </c>
      <c r="L185" s="2" t="s">
        <v>162</v>
      </c>
      <c r="M185" s="2" t="s">
        <v>948</v>
      </c>
      <c r="N185" s="2"/>
      <c r="O185" s="7" t="b">
        <f aca="false">FALSE()</f>
        <v>0</v>
      </c>
      <c r="P185" s="2" t="n">
        <v>87</v>
      </c>
      <c r="Q185" s="2" t="s">
        <v>2203</v>
      </c>
      <c r="R185" s="2"/>
    </row>
    <row r="186" customFormat="false" ht="15" hidden="false" customHeight="false" outlineLevel="0" collapsed="false">
      <c r="A186" s="2" t="s">
        <v>928</v>
      </c>
      <c r="B186" s="2" t="s">
        <v>929</v>
      </c>
      <c r="C186" s="2" t="s">
        <v>2213</v>
      </c>
      <c r="D186" s="2" t="s">
        <v>2250</v>
      </c>
      <c r="E186" s="2" t="s">
        <v>941</v>
      </c>
      <c r="F186" s="2" t="s">
        <v>2197</v>
      </c>
      <c r="G186" s="5" t="n">
        <v>46153</v>
      </c>
      <c r="H186" s="5" t="n">
        <v>46198</v>
      </c>
      <c r="I186" s="2" t="n">
        <v>45</v>
      </c>
      <c r="J186" s="2" t="s">
        <v>41</v>
      </c>
      <c r="K186" s="6" t="n">
        <v>45489.1</v>
      </c>
      <c r="L186" s="2" t="s">
        <v>162</v>
      </c>
      <c r="M186" s="2" t="s">
        <v>944</v>
      </c>
      <c r="N186" s="2" t="s">
        <v>945</v>
      </c>
      <c r="O186" s="7" t="b">
        <f aca="false">FALSE()</f>
        <v>0</v>
      </c>
      <c r="P186" s="2" t="n">
        <v>97</v>
      </c>
      <c r="Q186" s="2" t="s">
        <v>2201</v>
      </c>
      <c r="R186" s="2"/>
    </row>
    <row r="187" customFormat="false" ht="15" hidden="false" customHeight="false" outlineLevel="0" collapsed="false">
      <c r="A187" s="2" t="s">
        <v>928</v>
      </c>
      <c r="B187" s="2" t="s">
        <v>929</v>
      </c>
      <c r="C187" s="2" t="s">
        <v>2213</v>
      </c>
      <c r="D187" s="2" t="s">
        <v>2250</v>
      </c>
      <c r="E187" s="2" t="s">
        <v>949</v>
      </c>
      <c r="F187" s="2" t="s">
        <v>2197</v>
      </c>
      <c r="G187" s="5" t="n">
        <v>46174</v>
      </c>
      <c r="H187" s="5" t="n">
        <v>46219</v>
      </c>
      <c r="I187" s="2" t="n">
        <v>45</v>
      </c>
      <c r="J187" s="2" t="s">
        <v>41</v>
      </c>
      <c r="K187" s="6" t="n">
        <v>21122</v>
      </c>
      <c r="L187" s="2" t="s">
        <v>162</v>
      </c>
      <c r="M187" s="2" t="s">
        <v>953</v>
      </c>
      <c r="N187" s="2" t="s">
        <v>954</v>
      </c>
      <c r="O187" s="7" t="b">
        <f aca="false">FALSE()</f>
        <v>0</v>
      </c>
      <c r="P187" s="2" t="n">
        <v>76</v>
      </c>
      <c r="Q187" s="2" t="s">
        <v>2203</v>
      </c>
      <c r="R187" s="2" t="s">
        <v>2208</v>
      </c>
    </row>
    <row r="188" customFormat="false" ht="15" hidden="false" customHeight="false" outlineLevel="0" collapsed="false">
      <c r="A188" s="2" t="s">
        <v>928</v>
      </c>
      <c r="B188" s="2" t="s">
        <v>929</v>
      </c>
      <c r="C188" s="2" t="s">
        <v>2213</v>
      </c>
      <c r="D188" s="2" t="s">
        <v>2250</v>
      </c>
      <c r="E188" s="2" t="s">
        <v>955</v>
      </c>
      <c r="F188" s="2" t="s">
        <v>2197</v>
      </c>
      <c r="G188" s="5" t="n">
        <v>46227</v>
      </c>
      <c r="H188" s="5" t="n">
        <v>46272</v>
      </c>
      <c r="I188" s="2" t="n">
        <v>45</v>
      </c>
      <c r="J188" s="2" t="s">
        <v>41</v>
      </c>
      <c r="K188" s="6" t="n">
        <v>245778.98</v>
      </c>
      <c r="L188" s="2" t="s">
        <v>162</v>
      </c>
      <c r="M188" s="2" t="s">
        <v>958</v>
      </c>
      <c r="N188" s="2" t="s">
        <v>959</v>
      </c>
      <c r="O188" s="7" t="b">
        <f aca="false">FALSE()</f>
        <v>0</v>
      </c>
      <c r="P188" s="2" t="n">
        <v>23</v>
      </c>
      <c r="Q188" s="2" t="s">
        <v>2207</v>
      </c>
      <c r="R188" s="2"/>
    </row>
    <row r="189" customFormat="false" ht="15" hidden="false" customHeight="false" outlineLevel="0" collapsed="false">
      <c r="A189" s="2" t="s">
        <v>928</v>
      </c>
      <c r="B189" s="2" t="s">
        <v>929</v>
      </c>
      <c r="C189" s="2" t="s">
        <v>2213</v>
      </c>
      <c r="D189" s="2" t="s">
        <v>2250</v>
      </c>
      <c r="E189" s="2" t="s">
        <v>960</v>
      </c>
      <c r="F189" s="2" t="s">
        <v>2197</v>
      </c>
      <c r="G189" s="5" t="n">
        <v>46249</v>
      </c>
      <c r="H189" s="5" t="n">
        <v>46294</v>
      </c>
      <c r="I189" s="2" t="n">
        <v>45</v>
      </c>
      <c r="J189" s="2" t="s">
        <v>41</v>
      </c>
      <c r="K189" s="6" t="n">
        <v>121184</v>
      </c>
      <c r="L189" s="2" t="s">
        <v>162</v>
      </c>
      <c r="M189" s="2" t="s">
        <v>962</v>
      </c>
      <c r="N189" s="2"/>
      <c r="O189" s="7" t="b">
        <f aca="false">FALSE()</f>
        <v>0</v>
      </c>
      <c r="P189" s="2" t="n">
        <v>1</v>
      </c>
      <c r="Q189" s="2" t="s">
        <v>2207</v>
      </c>
      <c r="R189" s="2"/>
    </row>
    <row r="190" customFormat="false" ht="15" hidden="false" customHeight="false" outlineLevel="0" collapsed="false">
      <c r="A190" s="2" t="s">
        <v>928</v>
      </c>
      <c r="B190" s="2" t="s">
        <v>929</v>
      </c>
      <c r="C190" s="2" t="s">
        <v>2213</v>
      </c>
      <c r="D190" s="2" t="s">
        <v>2250</v>
      </c>
      <c r="E190" s="2" t="s">
        <v>963</v>
      </c>
      <c r="F190" s="2" t="s">
        <v>2197</v>
      </c>
      <c r="G190" s="5" t="n">
        <v>46265</v>
      </c>
      <c r="H190" s="5" t="n">
        <v>46310</v>
      </c>
      <c r="I190" s="2" t="n">
        <v>45</v>
      </c>
      <c r="J190" s="2" t="s">
        <v>41</v>
      </c>
      <c r="K190" s="6" t="n">
        <v>277064</v>
      </c>
      <c r="L190" s="2" t="s">
        <v>162</v>
      </c>
      <c r="M190" s="2" t="s">
        <v>966</v>
      </c>
      <c r="N190" s="2"/>
      <c r="O190" s="7" t="b">
        <f aca="false">FALSE()</f>
        <v>0</v>
      </c>
      <c r="P190" s="2" t="n">
        <v>-15</v>
      </c>
      <c r="Q190" s="2" t="s">
        <v>2209</v>
      </c>
      <c r="R190" s="2"/>
    </row>
    <row r="191" customFormat="false" ht="15" hidden="false" customHeight="false" outlineLevel="0" collapsed="false">
      <c r="A191" s="2" t="s">
        <v>928</v>
      </c>
      <c r="B191" s="2" t="s">
        <v>929</v>
      </c>
      <c r="C191" s="2" t="s">
        <v>2213</v>
      </c>
      <c r="D191" s="2" t="s">
        <v>2250</v>
      </c>
      <c r="E191" s="2" t="s">
        <v>967</v>
      </c>
      <c r="F191" s="2" t="s">
        <v>2197</v>
      </c>
      <c r="G191" s="5" t="n">
        <v>46281</v>
      </c>
      <c r="H191" s="5" t="n">
        <v>46326</v>
      </c>
      <c r="I191" s="2" t="n">
        <v>45</v>
      </c>
      <c r="J191" s="2" t="s">
        <v>41</v>
      </c>
      <c r="K191" s="6" t="n">
        <v>34692</v>
      </c>
      <c r="L191" s="2" t="s">
        <v>162</v>
      </c>
      <c r="M191" s="2" t="s">
        <v>970</v>
      </c>
      <c r="N191" s="2"/>
      <c r="O191" s="7" t="b">
        <f aca="false">FALSE()</f>
        <v>0</v>
      </c>
      <c r="P191" s="2" t="n">
        <v>-31</v>
      </c>
      <c r="Q191" s="2" t="s">
        <v>2209</v>
      </c>
      <c r="R191" s="2" t="s">
        <v>2251</v>
      </c>
    </row>
    <row r="192" customFormat="false" ht="15" hidden="false" customHeight="false" outlineLevel="0" collapsed="false">
      <c r="A192" s="2" t="s">
        <v>928</v>
      </c>
      <c r="B192" s="2" t="s">
        <v>929</v>
      </c>
      <c r="C192" s="2" t="s">
        <v>2213</v>
      </c>
      <c r="D192" s="2" t="s">
        <v>2250</v>
      </c>
      <c r="E192" s="2" t="s">
        <v>971</v>
      </c>
      <c r="F192" s="2" t="s">
        <v>2197</v>
      </c>
      <c r="G192" s="5" t="n">
        <v>46283</v>
      </c>
      <c r="H192" s="5" t="n">
        <v>46313</v>
      </c>
      <c r="I192" s="2" t="n">
        <v>30</v>
      </c>
      <c r="J192" s="2" t="s">
        <v>41</v>
      </c>
      <c r="K192" s="6" t="n">
        <v>92615.06</v>
      </c>
      <c r="L192" s="2" t="s">
        <v>162</v>
      </c>
      <c r="M192" s="2"/>
      <c r="N192" s="2"/>
      <c r="O192" s="7" t="b">
        <f aca="false">FALSE()</f>
        <v>0</v>
      </c>
      <c r="P192" s="2" t="n">
        <v>-18</v>
      </c>
      <c r="Q192" s="2" t="s">
        <v>2209</v>
      </c>
      <c r="R192" s="2"/>
    </row>
    <row r="193" customFormat="false" ht="15" hidden="false" customHeight="false" outlineLevel="0" collapsed="false">
      <c r="A193" s="2" t="s">
        <v>976</v>
      </c>
      <c r="B193" s="2" t="s">
        <v>977</v>
      </c>
      <c r="C193" s="2" t="s">
        <v>2210</v>
      </c>
      <c r="D193" s="2" t="s">
        <v>2196</v>
      </c>
      <c r="E193" s="2" t="s">
        <v>978</v>
      </c>
      <c r="F193" s="2" t="s">
        <v>2197</v>
      </c>
      <c r="G193" s="5" t="n">
        <v>46016</v>
      </c>
      <c r="H193" s="5" t="n">
        <v>46061</v>
      </c>
      <c r="I193" s="2" t="n">
        <v>45</v>
      </c>
      <c r="J193" s="2" t="s">
        <v>41</v>
      </c>
      <c r="K193" s="6" t="n">
        <v>14595</v>
      </c>
      <c r="L193" s="2" t="s">
        <v>43</v>
      </c>
      <c r="M193" s="2" t="s">
        <v>982</v>
      </c>
      <c r="N193" s="2"/>
      <c r="O193" s="7" t="b">
        <f aca="false">FALSE()</f>
        <v>0</v>
      </c>
      <c r="P193" s="2" t="n">
        <v>234</v>
      </c>
      <c r="Q193" s="2" t="s">
        <v>2198</v>
      </c>
      <c r="R193" s="2"/>
    </row>
    <row r="194" customFormat="false" ht="15" hidden="false" customHeight="false" outlineLevel="0" collapsed="false">
      <c r="A194" s="2" t="s">
        <v>976</v>
      </c>
      <c r="B194" s="2" t="s">
        <v>977</v>
      </c>
      <c r="C194" s="2" t="s">
        <v>2210</v>
      </c>
      <c r="D194" s="2" t="s">
        <v>2196</v>
      </c>
      <c r="E194" s="2" t="s">
        <v>2252</v>
      </c>
      <c r="F194" s="2" t="s">
        <v>2197</v>
      </c>
      <c r="G194" s="5" t="n">
        <v>46230</v>
      </c>
      <c r="H194" s="5" t="n">
        <v>46260</v>
      </c>
      <c r="I194" s="2" t="n">
        <v>30</v>
      </c>
      <c r="J194" s="2" t="s">
        <v>41</v>
      </c>
      <c r="K194" s="6" t="n">
        <v>29630.3</v>
      </c>
      <c r="L194" s="2" t="s">
        <v>43</v>
      </c>
      <c r="M194" s="2"/>
      <c r="N194" s="2"/>
      <c r="O194" s="7" t="b">
        <f aca="false">FALSE()</f>
        <v>0</v>
      </c>
      <c r="P194" s="2" t="n">
        <v>35</v>
      </c>
      <c r="Q194" s="2" t="s">
        <v>2205</v>
      </c>
      <c r="R194" s="2"/>
    </row>
    <row r="195" customFormat="false" ht="15" hidden="false" customHeight="false" outlineLevel="0" collapsed="false">
      <c r="A195" s="2" t="s">
        <v>976</v>
      </c>
      <c r="B195" s="2" t="s">
        <v>977</v>
      </c>
      <c r="C195" s="2" t="s">
        <v>2210</v>
      </c>
      <c r="D195" s="2" t="s">
        <v>2196</v>
      </c>
      <c r="E195" s="2" t="s">
        <v>987</v>
      </c>
      <c r="F195" s="2" t="s">
        <v>2222</v>
      </c>
      <c r="G195" s="5" t="n">
        <v>46263</v>
      </c>
      <c r="H195" s="5" t="n">
        <v>46263</v>
      </c>
      <c r="I195" s="2" t="n">
        <v>0</v>
      </c>
      <c r="J195" s="2" t="s">
        <v>41</v>
      </c>
      <c r="K195" s="6" t="n">
        <v>-122000</v>
      </c>
      <c r="L195" s="2" t="s">
        <v>43</v>
      </c>
      <c r="M195" s="2" t="s">
        <v>989</v>
      </c>
      <c r="N195" s="2"/>
      <c r="O195" s="7" t="b">
        <f aca="false">FALSE()</f>
        <v>0</v>
      </c>
      <c r="P195" s="2" t="n">
        <v>32</v>
      </c>
      <c r="Q195" s="2" t="s">
        <v>2205</v>
      </c>
      <c r="R195" s="2"/>
    </row>
    <row r="196" customFormat="false" ht="15" hidden="false" customHeight="false" outlineLevel="0" collapsed="false">
      <c r="A196" s="2" t="s">
        <v>991</v>
      </c>
      <c r="B196" s="2" t="s">
        <v>2253</v>
      </c>
      <c r="C196" s="2"/>
      <c r="D196" s="2"/>
      <c r="E196" s="2" t="s">
        <v>2254</v>
      </c>
      <c r="F196" s="2" t="s">
        <v>2197</v>
      </c>
      <c r="G196" s="5" t="n">
        <v>45832</v>
      </c>
      <c r="H196" s="5" t="n">
        <v>45862</v>
      </c>
      <c r="I196" s="2" t="n">
        <v>30</v>
      </c>
      <c r="J196" s="2" t="s">
        <v>41</v>
      </c>
      <c r="K196" s="6" t="n">
        <v>63233.95</v>
      </c>
      <c r="L196" s="2" t="s">
        <v>137</v>
      </c>
      <c r="M196" s="2" t="s">
        <v>997</v>
      </c>
      <c r="N196" s="2"/>
      <c r="O196" s="7" t="b">
        <f aca="false">FALSE()</f>
        <v>0</v>
      </c>
      <c r="P196" s="2" t="n">
        <v>433</v>
      </c>
      <c r="Q196" s="2" t="s">
        <v>2198</v>
      </c>
      <c r="R196" s="2" t="s">
        <v>2255</v>
      </c>
    </row>
    <row r="197" customFormat="false" ht="15" hidden="false" customHeight="false" outlineLevel="0" collapsed="false">
      <c r="A197" s="2" t="s">
        <v>991</v>
      </c>
      <c r="B197" s="2" t="s">
        <v>2253</v>
      </c>
      <c r="C197" s="2"/>
      <c r="D197" s="2"/>
      <c r="E197" s="2" t="s">
        <v>998</v>
      </c>
      <c r="F197" s="2" t="s">
        <v>2197</v>
      </c>
      <c r="G197" s="5" t="n">
        <v>46044</v>
      </c>
      <c r="H197" s="5" t="n">
        <v>46074</v>
      </c>
      <c r="I197" s="2" t="n">
        <v>30</v>
      </c>
      <c r="J197" s="2" t="s">
        <v>41</v>
      </c>
      <c r="K197" s="6" t="n">
        <v>8260</v>
      </c>
      <c r="L197" s="2" t="s">
        <v>2204</v>
      </c>
      <c r="M197" s="2" t="s">
        <v>1002</v>
      </c>
      <c r="N197" s="2" t="s">
        <v>624</v>
      </c>
      <c r="O197" s="7" t="b">
        <f aca="false">TRUE()</f>
        <v>1</v>
      </c>
      <c r="P197" s="2" t="n">
        <v>221</v>
      </c>
      <c r="Q197" s="2" t="s">
        <v>2198</v>
      </c>
      <c r="R197" s="2" t="s">
        <v>2255</v>
      </c>
    </row>
    <row r="198" customFormat="false" ht="15" hidden="false" customHeight="false" outlineLevel="0" collapsed="false">
      <c r="A198" s="2" t="s">
        <v>991</v>
      </c>
      <c r="B198" s="2" t="s">
        <v>2253</v>
      </c>
      <c r="C198" s="2"/>
      <c r="D198" s="2"/>
      <c r="E198" s="2" t="s">
        <v>2256</v>
      </c>
      <c r="F198" s="2" t="s">
        <v>2197</v>
      </c>
      <c r="G198" s="5" t="n">
        <v>46111</v>
      </c>
      <c r="H198" s="5" t="n">
        <v>46141</v>
      </c>
      <c r="I198" s="2" t="n">
        <v>30</v>
      </c>
      <c r="J198" s="2" t="s">
        <v>41</v>
      </c>
      <c r="K198" s="6" t="n">
        <v>144419.21</v>
      </c>
      <c r="L198" s="2" t="s">
        <v>137</v>
      </c>
      <c r="M198" s="2" t="s">
        <v>1007</v>
      </c>
      <c r="N198" s="2"/>
      <c r="O198" s="7" t="b">
        <f aca="false">FALSE()</f>
        <v>0</v>
      </c>
      <c r="P198" s="2" t="n">
        <v>154</v>
      </c>
      <c r="Q198" s="2" t="s">
        <v>2201</v>
      </c>
      <c r="R198" s="2" t="s">
        <v>2255</v>
      </c>
    </row>
    <row r="199" customFormat="false" ht="15" hidden="false" customHeight="false" outlineLevel="0" collapsed="false">
      <c r="A199" s="2" t="s">
        <v>991</v>
      </c>
      <c r="B199" s="2" t="s">
        <v>2253</v>
      </c>
      <c r="C199" s="2"/>
      <c r="D199" s="2"/>
      <c r="E199" s="2" t="s">
        <v>2257</v>
      </c>
      <c r="F199" s="2" t="s">
        <v>2197</v>
      </c>
      <c r="G199" s="5" t="n">
        <v>46121</v>
      </c>
      <c r="H199" s="5" t="n">
        <v>46151</v>
      </c>
      <c r="I199" s="2" t="n">
        <v>30</v>
      </c>
      <c r="J199" s="2" t="s">
        <v>41</v>
      </c>
      <c r="K199" s="6" t="n">
        <v>34220</v>
      </c>
      <c r="L199" s="2" t="s">
        <v>137</v>
      </c>
      <c r="M199" s="2" t="s">
        <v>1013</v>
      </c>
      <c r="N199" s="2" t="s">
        <v>954</v>
      </c>
      <c r="O199" s="7" t="b">
        <f aca="false">FALSE()</f>
        <v>0</v>
      </c>
      <c r="P199" s="2" t="n">
        <v>144</v>
      </c>
      <c r="Q199" s="2" t="s">
        <v>2201</v>
      </c>
      <c r="R199" s="2" t="s">
        <v>2255</v>
      </c>
    </row>
    <row r="200" customFormat="false" ht="15" hidden="false" customHeight="false" outlineLevel="0" collapsed="false">
      <c r="A200" s="2" t="s">
        <v>991</v>
      </c>
      <c r="B200" s="2" t="s">
        <v>2253</v>
      </c>
      <c r="C200" s="2"/>
      <c r="D200" s="2"/>
      <c r="E200" s="2" t="s">
        <v>1014</v>
      </c>
      <c r="F200" s="2" t="s">
        <v>2197</v>
      </c>
      <c r="G200" s="5" t="n">
        <v>46164</v>
      </c>
      <c r="H200" s="5" t="n">
        <v>46194</v>
      </c>
      <c r="I200" s="2" t="n">
        <v>30</v>
      </c>
      <c r="J200" s="2" t="s">
        <v>41</v>
      </c>
      <c r="K200" s="6" t="n">
        <v>230100</v>
      </c>
      <c r="L200" s="2" t="s">
        <v>137</v>
      </c>
      <c r="M200" s="2" t="s">
        <v>1016</v>
      </c>
      <c r="N200" s="2"/>
      <c r="O200" s="7" t="b">
        <f aca="false">FALSE()</f>
        <v>0</v>
      </c>
      <c r="P200" s="2" t="n">
        <v>101</v>
      </c>
      <c r="Q200" s="2" t="s">
        <v>2201</v>
      </c>
      <c r="R200" s="2" t="s">
        <v>2255</v>
      </c>
    </row>
    <row r="201" customFormat="false" ht="15" hidden="false" customHeight="false" outlineLevel="0" collapsed="false">
      <c r="A201" s="2" t="s">
        <v>991</v>
      </c>
      <c r="B201" s="2" t="s">
        <v>2253</v>
      </c>
      <c r="C201" s="2"/>
      <c r="D201" s="2"/>
      <c r="E201" s="2" t="s">
        <v>1017</v>
      </c>
      <c r="F201" s="2" t="s">
        <v>2197</v>
      </c>
      <c r="G201" s="5" t="n">
        <v>46236</v>
      </c>
      <c r="H201" s="5" t="n">
        <v>46266</v>
      </c>
      <c r="I201" s="2" t="n">
        <v>30</v>
      </c>
      <c r="J201" s="2" t="s">
        <v>41</v>
      </c>
      <c r="K201" s="6" t="n">
        <v>102660</v>
      </c>
      <c r="L201" s="2" t="s">
        <v>43</v>
      </c>
      <c r="M201" s="2" t="s">
        <v>307</v>
      </c>
      <c r="N201" s="2"/>
      <c r="O201" s="7" t="b">
        <f aca="false">FALSE()</f>
        <v>0</v>
      </c>
      <c r="P201" s="2" t="n">
        <v>29</v>
      </c>
      <c r="Q201" s="2" t="s">
        <v>2207</v>
      </c>
      <c r="R201" s="2" t="s">
        <v>2255</v>
      </c>
    </row>
    <row r="202" customFormat="false" ht="15" hidden="false" customHeight="false" outlineLevel="0" collapsed="false">
      <c r="A202" s="2" t="s">
        <v>2258</v>
      </c>
      <c r="B202" s="2" t="s">
        <v>1021</v>
      </c>
      <c r="C202" s="2" t="s">
        <v>2214</v>
      </c>
      <c r="D202" s="2" t="s">
        <v>2211</v>
      </c>
      <c r="E202" s="2" t="s">
        <v>2259</v>
      </c>
      <c r="F202" s="2" t="s">
        <v>2197</v>
      </c>
      <c r="G202" s="5" t="n">
        <v>46124</v>
      </c>
      <c r="H202" s="5" t="n">
        <v>46154</v>
      </c>
      <c r="I202" s="2" t="n">
        <v>30</v>
      </c>
      <c r="J202" s="2" t="s">
        <v>41</v>
      </c>
      <c r="K202" s="6" t="n">
        <v>10752</v>
      </c>
      <c r="L202" s="2" t="s">
        <v>571</v>
      </c>
      <c r="M202" s="2" t="s">
        <v>1026</v>
      </c>
      <c r="N202" s="2" t="s">
        <v>645</v>
      </c>
      <c r="O202" s="7" t="b">
        <f aca="false">FALSE()</f>
        <v>0</v>
      </c>
      <c r="P202" s="2" t="n">
        <v>141</v>
      </c>
      <c r="Q202" s="2" t="s">
        <v>2201</v>
      </c>
      <c r="R202" s="2"/>
    </row>
    <row r="203" customFormat="false" ht="15" hidden="false" customHeight="false" outlineLevel="0" collapsed="false">
      <c r="A203" s="2" t="s">
        <v>2258</v>
      </c>
      <c r="B203" s="2" t="s">
        <v>1021</v>
      </c>
      <c r="C203" s="2" t="s">
        <v>2214</v>
      </c>
      <c r="D203" s="2" t="s">
        <v>2211</v>
      </c>
      <c r="E203" s="2" t="s">
        <v>1027</v>
      </c>
      <c r="F203" s="2" t="s">
        <v>2197</v>
      </c>
      <c r="G203" s="5" t="n">
        <v>46252</v>
      </c>
      <c r="H203" s="5" t="n">
        <v>46282</v>
      </c>
      <c r="I203" s="2" t="n">
        <v>30</v>
      </c>
      <c r="J203" s="2" t="s">
        <v>41</v>
      </c>
      <c r="K203" s="6" t="n">
        <v>61360</v>
      </c>
      <c r="L203" s="2" t="s">
        <v>571</v>
      </c>
      <c r="M203" s="2"/>
      <c r="N203" s="2"/>
      <c r="O203" s="7" t="b">
        <f aca="false">FALSE()</f>
        <v>0</v>
      </c>
      <c r="P203" s="2" t="n">
        <v>13</v>
      </c>
      <c r="Q203" s="2" t="s">
        <v>2207</v>
      </c>
      <c r="R203" s="2"/>
    </row>
    <row r="204" customFormat="false" ht="15" hidden="false" customHeight="false" outlineLevel="0" collapsed="false">
      <c r="A204" s="2" t="s">
        <v>2258</v>
      </c>
      <c r="B204" s="2" t="s">
        <v>1021</v>
      </c>
      <c r="C204" s="2" t="s">
        <v>2214</v>
      </c>
      <c r="D204" s="2" t="s">
        <v>2211</v>
      </c>
      <c r="E204" s="2" t="s">
        <v>2260</v>
      </c>
      <c r="F204" s="2" t="s">
        <v>2197</v>
      </c>
      <c r="G204" s="5" t="n">
        <v>46254</v>
      </c>
      <c r="H204" s="5" t="n">
        <v>46284</v>
      </c>
      <c r="I204" s="2" t="n">
        <v>30</v>
      </c>
      <c r="J204" s="2" t="s">
        <v>41</v>
      </c>
      <c r="K204" s="6" t="n">
        <v>18659.87</v>
      </c>
      <c r="L204" s="2" t="s">
        <v>571</v>
      </c>
      <c r="M204" s="2" t="s">
        <v>1032</v>
      </c>
      <c r="N204" s="2"/>
      <c r="O204" s="7" t="b">
        <f aca="false">FALSE()</f>
        <v>0</v>
      </c>
      <c r="P204" s="2" t="n">
        <v>11</v>
      </c>
      <c r="Q204" s="2" t="s">
        <v>2207</v>
      </c>
      <c r="R204" s="2"/>
    </row>
    <row r="205" customFormat="false" ht="15" hidden="false" customHeight="false" outlineLevel="0" collapsed="false">
      <c r="A205" s="2" t="s">
        <v>2258</v>
      </c>
      <c r="B205" s="2" t="s">
        <v>1021</v>
      </c>
      <c r="C205" s="2" t="s">
        <v>2214</v>
      </c>
      <c r="D205" s="2" t="s">
        <v>2211</v>
      </c>
      <c r="E205" s="2" t="s">
        <v>2261</v>
      </c>
      <c r="F205" s="2" t="s">
        <v>2197</v>
      </c>
      <c r="G205" s="5" t="n">
        <v>46284</v>
      </c>
      <c r="H205" s="5" t="n">
        <v>46314</v>
      </c>
      <c r="I205" s="2" t="n">
        <v>30</v>
      </c>
      <c r="J205" s="2" t="s">
        <v>41</v>
      </c>
      <c r="K205" s="6" t="n">
        <v>72960</v>
      </c>
      <c r="L205" s="2" t="s">
        <v>43</v>
      </c>
      <c r="M205" s="2" t="s">
        <v>1036</v>
      </c>
      <c r="N205" s="2"/>
      <c r="O205" s="7" t="b">
        <f aca="false">FALSE()</f>
        <v>0</v>
      </c>
      <c r="P205" s="2" t="n">
        <v>-19</v>
      </c>
      <c r="Q205" s="2" t="s">
        <v>2209</v>
      </c>
      <c r="R205" s="2"/>
    </row>
    <row r="206" customFormat="false" ht="15" hidden="false" customHeight="false" outlineLevel="0" collapsed="false">
      <c r="A206" s="2" t="s">
        <v>2258</v>
      </c>
      <c r="B206" s="2" t="s">
        <v>1021</v>
      </c>
      <c r="C206" s="2" t="s">
        <v>2214</v>
      </c>
      <c r="D206" s="2" t="s">
        <v>2211</v>
      </c>
      <c r="E206" s="2" t="s">
        <v>1037</v>
      </c>
      <c r="F206" s="2" t="s">
        <v>2197</v>
      </c>
      <c r="G206" s="5" t="n">
        <v>46288</v>
      </c>
      <c r="H206" s="5" t="n">
        <v>46318</v>
      </c>
      <c r="I206" s="2" t="n">
        <v>30</v>
      </c>
      <c r="J206" s="2" t="s">
        <v>41</v>
      </c>
      <c r="K206" s="6" t="n">
        <v>45573.45</v>
      </c>
      <c r="L206" s="2" t="s">
        <v>1596</v>
      </c>
      <c r="M206" s="2" t="s">
        <v>1041</v>
      </c>
      <c r="N206" s="2"/>
      <c r="O206" s="7" t="b">
        <f aca="false">FALSE()</f>
        <v>0</v>
      </c>
      <c r="P206" s="2" t="n">
        <v>-23</v>
      </c>
      <c r="Q206" s="2" t="s">
        <v>2209</v>
      </c>
      <c r="R206" s="2"/>
    </row>
    <row r="207" customFormat="false" ht="15" hidden="false" customHeight="false" outlineLevel="0" collapsed="false">
      <c r="A207" s="2" t="s">
        <v>2258</v>
      </c>
      <c r="B207" s="2" t="s">
        <v>1021</v>
      </c>
      <c r="C207" s="2" t="s">
        <v>2214</v>
      </c>
      <c r="D207" s="2" t="s">
        <v>2211</v>
      </c>
      <c r="E207" s="2" t="s">
        <v>1042</v>
      </c>
      <c r="F207" s="2" t="s">
        <v>2197</v>
      </c>
      <c r="G207" s="5" t="n">
        <v>46294</v>
      </c>
      <c r="H207" s="5" t="n">
        <v>46324</v>
      </c>
      <c r="I207" s="2" t="n">
        <v>30</v>
      </c>
      <c r="J207" s="2" t="s">
        <v>41</v>
      </c>
      <c r="K207" s="6" t="n">
        <v>17582</v>
      </c>
      <c r="L207" s="2" t="s">
        <v>571</v>
      </c>
      <c r="M207" s="2"/>
      <c r="N207" s="2"/>
      <c r="O207" s="7" t="b">
        <f aca="false">FALSE()</f>
        <v>0</v>
      </c>
      <c r="P207" s="2" t="n">
        <v>-29</v>
      </c>
      <c r="Q207" s="2" t="s">
        <v>2209</v>
      </c>
      <c r="R207" s="2"/>
    </row>
    <row r="208" customFormat="false" ht="15" hidden="false" customHeight="false" outlineLevel="0" collapsed="false">
      <c r="A208" s="2" t="s">
        <v>1045</v>
      </c>
      <c r="B208" s="2" t="s">
        <v>1046</v>
      </c>
      <c r="C208" s="2" t="s">
        <v>2213</v>
      </c>
      <c r="D208" s="2" t="s">
        <v>2196</v>
      </c>
      <c r="E208" s="2" t="s">
        <v>2262</v>
      </c>
      <c r="F208" s="2" t="s">
        <v>2197</v>
      </c>
      <c r="G208" s="5" t="n">
        <v>46160</v>
      </c>
      <c r="H208" s="5" t="n">
        <v>46190</v>
      </c>
      <c r="I208" s="2" t="n">
        <v>30</v>
      </c>
      <c r="J208" s="2" t="s">
        <v>41</v>
      </c>
      <c r="K208" s="6" t="n">
        <v>103520.37</v>
      </c>
      <c r="L208" s="2" t="s">
        <v>502</v>
      </c>
      <c r="M208" s="2"/>
      <c r="N208" s="2"/>
      <c r="O208" s="7" t="b">
        <f aca="false">FALSE()</f>
        <v>0</v>
      </c>
      <c r="P208" s="2" t="n">
        <v>105</v>
      </c>
      <c r="Q208" s="2" t="s">
        <v>2201</v>
      </c>
      <c r="R208" s="2"/>
    </row>
    <row r="209" customFormat="false" ht="15" hidden="false" customHeight="false" outlineLevel="0" collapsed="false">
      <c r="A209" s="2" t="s">
        <v>1045</v>
      </c>
      <c r="B209" s="2" t="s">
        <v>1046</v>
      </c>
      <c r="C209" s="2" t="s">
        <v>2213</v>
      </c>
      <c r="D209" s="2" t="s">
        <v>2196</v>
      </c>
      <c r="E209" s="2" t="s">
        <v>1050</v>
      </c>
      <c r="F209" s="2" t="s">
        <v>2197</v>
      </c>
      <c r="G209" s="5" t="n">
        <v>46199</v>
      </c>
      <c r="H209" s="5" t="n">
        <v>46229</v>
      </c>
      <c r="I209" s="2" t="n">
        <v>30</v>
      </c>
      <c r="J209" s="2" t="s">
        <v>41</v>
      </c>
      <c r="K209" s="6" t="n">
        <v>21487.86</v>
      </c>
      <c r="L209" s="2" t="s">
        <v>502</v>
      </c>
      <c r="M209" s="2"/>
      <c r="N209" s="2"/>
      <c r="O209" s="7" t="b">
        <f aca="false">FALSE()</f>
        <v>0</v>
      </c>
      <c r="P209" s="2" t="n">
        <v>66</v>
      </c>
      <c r="Q209" s="2" t="s">
        <v>2203</v>
      </c>
      <c r="R209" s="2"/>
    </row>
    <row r="210" customFormat="false" ht="15" hidden="false" customHeight="false" outlineLevel="0" collapsed="false">
      <c r="A210" s="2" t="s">
        <v>1045</v>
      </c>
      <c r="B210" s="2" t="s">
        <v>1046</v>
      </c>
      <c r="C210" s="2" t="s">
        <v>2213</v>
      </c>
      <c r="D210" s="2" t="s">
        <v>2196</v>
      </c>
      <c r="E210" s="2" t="s">
        <v>1054</v>
      </c>
      <c r="F210" s="2" t="s">
        <v>2197</v>
      </c>
      <c r="G210" s="5" t="n">
        <v>46236</v>
      </c>
      <c r="H210" s="5" t="n">
        <v>46266</v>
      </c>
      <c r="I210" s="2" t="n">
        <v>30</v>
      </c>
      <c r="J210" s="2" t="s">
        <v>41</v>
      </c>
      <c r="K210" s="6" t="n">
        <v>288392</v>
      </c>
      <c r="L210" s="2" t="s">
        <v>502</v>
      </c>
      <c r="M210" s="2" t="s">
        <v>1056</v>
      </c>
      <c r="N210" s="2"/>
      <c r="O210" s="7" t="b">
        <f aca="false">FALSE()</f>
        <v>0</v>
      </c>
      <c r="P210" s="2" t="n">
        <v>29</v>
      </c>
      <c r="Q210" s="2" t="s">
        <v>2207</v>
      </c>
      <c r="R210" s="2"/>
    </row>
    <row r="211" customFormat="false" ht="15" hidden="false" customHeight="false" outlineLevel="0" collapsed="false">
      <c r="A211" s="2" t="s">
        <v>1045</v>
      </c>
      <c r="B211" s="2" t="s">
        <v>1046</v>
      </c>
      <c r="C211" s="2" t="s">
        <v>2213</v>
      </c>
      <c r="D211" s="2" t="s">
        <v>2196</v>
      </c>
      <c r="E211" s="2" t="s">
        <v>1059</v>
      </c>
      <c r="F211" s="2" t="s">
        <v>2197</v>
      </c>
      <c r="G211" s="5" t="n">
        <v>46275</v>
      </c>
      <c r="H211" s="5" t="n">
        <v>46305</v>
      </c>
      <c r="I211" s="2" t="n">
        <v>30</v>
      </c>
      <c r="J211" s="2" t="s">
        <v>41</v>
      </c>
      <c r="K211" s="6" t="n">
        <v>27140</v>
      </c>
      <c r="L211" s="2" t="s">
        <v>502</v>
      </c>
      <c r="M211" s="2" t="s">
        <v>1061</v>
      </c>
      <c r="N211" s="2"/>
      <c r="O211" s="7" t="b">
        <f aca="false">FALSE()</f>
        <v>0</v>
      </c>
      <c r="P211" s="2" t="n">
        <v>-10</v>
      </c>
      <c r="Q211" s="2" t="s">
        <v>2209</v>
      </c>
      <c r="R211" s="2"/>
    </row>
    <row r="212" customFormat="false" ht="15" hidden="false" customHeight="false" outlineLevel="0" collapsed="false">
      <c r="A212" s="2" t="s">
        <v>1045</v>
      </c>
      <c r="B212" s="2" t="s">
        <v>1046</v>
      </c>
      <c r="C212" s="2" t="s">
        <v>2213</v>
      </c>
      <c r="D212" s="2" t="s">
        <v>2196</v>
      </c>
      <c r="E212" s="2" t="s">
        <v>1057</v>
      </c>
      <c r="F212" s="2" t="s">
        <v>2212</v>
      </c>
      <c r="G212" s="5" t="n">
        <v>46276</v>
      </c>
      <c r="H212" s="5" t="n">
        <v>46276</v>
      </c>
      <c r="I212" s="2" t="n">
        <v>0</v>
      </c>
      <c r="J212" s="2" t="s">
        <v>41</v>
      </c>
      <c r="K212" s="6" t="n">
        <v>-45600</v>
      </c>
      <c r="L212" s="2" t="s">
        <v>502</v>
      </c>
      <c r="M212" s="2"/>
      <c r="N212" s="2"/>
      <c r="O212" s="7" t="b">
        <f aca="false">FALSE()</f>
        <v>0</v>
      </c>
      <c r="P212" s="2" t="n">
        <v>19</v>
      </c>
      <c r="Q212" s="2" t="s">
        <v>2207</v>
      </c>
      <c r="R212" s="2"/>
    </row>
    <row r="213" customFormat="false" ht="15" hidden="false" customHeight="false" outlineLevel="0" collapsed="false">
      <c r="A213" s="2" t="s">
        <v>1045</v>
      </c>
      <c r="B213" s="2" t="s">
        <v>1046</v>
      </c>
      <c r="C213" s="2" t="s">
        <v>2213</v>
      </c>
      <c r="D213" s="2" t="s">
        <v>2196</v>
      </c>
      <c r="E213" s="2" t="s">
        <v>1062</v>
      </c>
      <c r="F213" s="2" t="s">
        <v>2197</v>
      </c>
      <c r="G213" s="5" t="n">
        <v>46290</v>
      </c>
      <c r="H213" s="5" t="n">
        <v>46320</v>
      </c>
      <c r="I213" s="2" t="n">
        <v>30</v>
      </c>
      <c r="J213" s="2" t="s">
        <v>41</v>
      </c>
      <c r="K213" s="6" t="n">
        <v>13895.49</v>
      </c>
      <c r="L213" s="2" t="s">
        <v>502</v>
      </c>
      <c r="M213" s="2" t="s">
        <v>1064</v>
      </c>
      <c r="N213" s="2"/>
      <c r="O213" s="7" t="b">
        <f aca="false">FALSE()</f>
        <v>0</v>
      </c>
      <c r="P213" s="2" t="n">
        <v>-25</v>
      </c>
      <c r="Q213" s="2" t="s">
        <v>2209</v>
      </c>
      <c r="R213" s="2" t="s">
        <v>2208</v>
      </c>
    </row>
    <row r="214" customFormat="false" ht="15" hidden="false" customHeight="false" outlineLevel="0" collapsed="false">
      <c r="A214" s="2" t="s">
        <v>2263</v>
      </c>
      <c r="B214" s="2" t="s">
        <v>2264</v>
      </c>
      <c r="C214" s="2" t="s">
        <v>2210</v>
      </c>
      <c r="D214" s="2" t="s">
        <v>2224</v>
      </c>
      <c r="E214" s="2" t="s">
        <v>1076</v>
      </c>
      <c r="F214" s="2" t="s">
        <v>2197</v>
      </c>
      <c r="G214" s="5" t="n">
        <v>46004</v>
      </c>
      <c r="H214" s="5" t="n">
        <v>46034</v>
      </c>
      <c r="I214" s="2" t="n">
        <v>30</v>
      </c>
      <c r="J214" s="2" t="s">
        <v>41</v>
      </c>
      <c r="K214" s="6" t="n">
        <v>18644</v>
      </c>
      <c r="L214" s="2" t="s">
        <v>43</v>
      </c>
      <c r="M214" s="2" t="s">
        <v>1080</v>
      </c>
      <c r="N214" s="2"/>
      <c r="O214" s="7" t="b">
        <f aca="false">FALSE()</f>
        <v>0</v>
      </c>
      <c r="P214" s="2" t="n">
        <v>261</v>
      </c>
      <c r="Q214" s="2" t="s">
        <v>2198</v>
      </c>
      <c r="R214" s="2"/>
    </row>
    <row r="215" customFormat="false" ht="15" hidden="false" customHeight="false" outlineLevel="0" collapsed="false">
      <c r="A215" s="2" t="s">
        <v>2263</v>
      </c>
      <c r="B215" s="2" t="s">
        <v>2264</v>
      </c>
      <c r="C215" s="2" t="s">
        <v>2210</v>
      </c>
      <c r="D215" s="2" t="s">
        <v>2224</v>
      </c>
      <c r="E215" s="2" t="s">
        <v>1068</v>
      </c>
      <c r="F215" s="2" t="s">
        <v>2197</v>
      </c>
      <c r="G215" s="5" t="n">
        <v>46074</v>
      </c>
      <c r="H215" s="5" t="n">
        <v>46104</v>
      </c>
      <c r="I215" s="2" t="n">
        <v>30</v>
      </c>
      <c r="J215" s="2" t="s">
        <v>41</v>
      </c>
      <c r="K215" s="6" t="n">
        <v>105280</v>
      </c>
      <c r="L215" s="2" t="s">
        <v>43</v>
      </c>
      <c r="M215" s="2" t="s">
        <v>1072</v>
      </c>
      <c r="N215" s="2"/>
      <c r="O215" s="7" t="b">
        <f aca="false">FALSE()</f>
        <v>0</v>
      </c>
      <c r="P215" s="2" t="n">
        <v>191</v>
      </c>
      <c r="Q215" s="2" t="s">
        <v>2198</v>
      </c>
      <c r="R215" s="2"/>
    </row>
    <row r="216" customFormat="false" ht="15" hidden="false" customHeight="false" outlineLevel="0" collapsed="false">
      <c r="A216" s="2" t="s">
        <v>2263</v>
      </c>
      <c r="B216" s="2" t="s">
        <v>2264</v>
      </c>
      <c r="C216" s="2" t="s">
        <v>2210</v>
      </c>
      <c r="D216" s="2" t="s">
        <v>2224</v>
      </c>
      <c r="E216" s="2" t="s">
        <v>2265</v>
      </c>
      <c r="F216" s="2" t="s">
        <v>2212</v>
      </c>
      <c r="G216" s="5" t="n">
        <v>46092</v>
      </c>
      <c r="H216" s="5" t="n">
        <v>46092</v>
      </c>
      <c r="I216" s="2" t="n">
        <v>0</v>
      </c>
      <c r="J216" s="2" t="s">
        <v>41</v>
      </c>
      <c r="K216" s="6" t="n">
        <v>-47000</v>
      </c>
      <c r="L216" s="2" t="s">
        <v>43</v>
      </c>
      <c r="M216" s="2"/>
      <c r="N216" s="2"/>
      <c r="O216" s="7" t="b">
        <f aca="false">FALSE()</f>
        <v>0</v>
      </c>
      <c r="P216" s="2" t="n">
        <v>203</v>
      </c>
      <c r="Q216" s="2" t="s">
        <v>2198</v>
      </c>
      <c r="R216" s="2"/>
    </row>
    <row r="217" customFormat="false" ht="15" hidden="false" customHeight="false" outlineLevel="0" collapsed="false">
      <c r="A217" s="2" t="s">
        <v>2263</v>
      </c>
      <c r="B217" s="2" t="s">
        <v>2264</v>
      </c>
      <c r="C217" s="2" t="s">
        <v>2210</v>
      </c>
      <c r="D217" s="2" t="s">
        <v>2224</v>
      </c>
      <c r="E217" s="2" t="s">
        <v>1086</v>
      </c>
      <c r="F217" s="2" t="s">
        <v>2197</v>
      </c>
      <c r="G217" s="5" t="n">
        <v>46105</v>
      </c>
      <c r="H217" s="5" t="n">
        <v>46135</v>
      </c>
      <c r="I217" s="2" t="n">
        <v>30</v>
      </c>
      <c r="J217" s="2" t="s">
        <v>41</v>
      </c>
      <c r="K217" s="6" t="n">
        <v>145746.4</v>
      </c>
      <c r="L217" s="2" t="s">
        <v>43</v>
      </c>
      <c r="M217" s="2" t="s">
        <v>1090</v>
      </c>
      <c r="N217" s="2"/>
      <c r="O217" s="7" t="b">
        <f aca="false">FALSE()</f>
        <v>0</v>
      </c>
      <c r="P217" s="2" t="n">
        <v>160</v>
      </c>
      <c r="Q217" s="2" t="s">
        <v>2201</v>
      </c>
      <c r="R217" s="2"/>
    </row>
    <row r="218" customFormat="false" ht="15" hidden="false" customHeight="false" outlineLevel="0" collapsed="false">
      <c r="A218" s="2" t="s">
        <v>2263</v>
      </c>
      <c r="B218" s="2" t="s">
        <v>2264</v>
      </c>
      <c r="C218" s="2" t="s">
        <v>2210</v>
      </c>
      <c r="D218" s="2" t="s">
        <v>2224</v>
      </c>
      <c r="E218" s="2" t="s">
        <v>1081</v>
      </c>
      <c r="F218" s="2" t="s">
        <v>2197</v>
      </c>
      <c r="G218" s="5" t="n">
        <v>46113</v>
      </c>
      <c r="H218" s="5" t="n">
        <v>46143</v>
      </c>
      <c r="I218" s="2" t="n">
        <v>30</v>
      </c>
      <c r="J218" s="2" t="s">
        <v>41</v>
      </c>
      <c r="K218" s="6" t="n">
        <v>74576</v>
      </c>
      <c r="L218" s="2" t="s">
        <v>43</v>
      </c>
      <c r="M218" s="2" t="s">
        <v>1085</v>
      </c>
      <c r="N218" s="2"/>
      <c r="O218" s="7" t="b">
        <f aca="false">FALSE()</f>
        <v>0</v>
      </c>
      <c r="P218" s="2" t="n">
        <v>152</v>
      </c>
      <c r="Q218" s="2" t="s">
        <v>2201</v>
      </c>
      <c r="R218" s="2"/>
    </row>
    <row r="219" customFormat="false" ht="15" hidden="false" customHeight="false" outlineLevel="0" collapsed="false">
      <c r="A219" s="2" t="s">
        <v>2263</v>
      </c>
      <c r="B219" s="2" t="s">
        <v>2264</v>
      </c>
      <c r="C219" s="2" t="s">
        <v>2210</v>
      </c>
      <c r="D219" s="2" t="s">
        <v>2224</v>
      </c>
      <c r="E219" s="2" t="s">
        <v>1091</v>
      </c>
      <c r="F219" s="2" t="s">
        <v>2197</v>
      </c>
      <c r="G219" s="5" t="n">
        <v>46159</v>
      </c>
      <c r="H219" s="5" t="n">
        <v>46189</v>
      </c>
      <c r="I219" s="2" t="n">
        <v>30</v>
      </c>
      <c r="J219" s="2" t="s">
        <v>41</v>
      </c>
      <c r="K219" s="6" t="n">
        <v>11682</v>
      </c>
      <c r="L219" s="2" t="s">
        <v>43</v>
      </c>
      <c r="M219" s="2" t="s">
        <v>739</v>
      </c>
      <c r="N219" s="2"/>
      <c r="O219" s="7" t="b">
        <f aca="false">FALSE()</f>
        <v>0</v>
      </c>
      <c r="P219" s="2" t="n">
        <v>106</v>
      </c>
      <c r="Q219" s="2" t="s">
        <v>2201</v>
      </c>
      <c r="R219" s="2"/>
    </row>
    <row r="220" customFormat="false" ht="15" hidden="false" customHeight="false" outlineLevel="0" collapsed="false">
      <c r="A220" s="2" t="s">
        <v>2263</v>
      </c>
      <c r="B220" s="2" t="s">
        <v>2264</v>
      </c>
      <c r="C220" s="2" t="s">
        <v>2210</v>
      </c>
      <c r="D220" s="2" t="s">
        <v>2224</v>
      </c>
      <c r="E220" s="2" t="s">
        <v>1093</v>
      </c>
      <c r="F220" s="2" t="s">
        <v>2197</v>
      </c>
      <c r="G220" s="5" t="n">
        <v>46192</v>
      </c>
      <c r="H220" s="5" t="n">
        <v>46222</v>
      </c>
      <c r="I220" s="2" t="n">
        <v>30</v>
      </c>
      <c r="J220" s="2" t="s">
        <v>41</v>
      </c>
      <c r="K220" s="6" t="n">
        <v>24658.7</v>
      </c>
      <c r="L220" s="2" t="s">
        <v>43</v>
      </c>
      <c r="M220" s="2" t="s">
        <v>1097</v>
      </c>
      <c r="N220" s="2"/>
      <c r="O220" s="7" t="b">
        <f aca="false">FALSE()</f>
        <v>0</v>
      </c>
      <c r="P220" s="2" t="n">
        <v>73</v>
      </c>
      <c r="Q220" s="2" t="s">
        <v>2203</v>
      </c>
      <c r="R220" s="2"/>
    </row>
    <row r="221" customFormat="false" ht="15" hidden="false" customHeight="false" outlineLevel="0" collapsed="false">
      <c r="A221" s="2" t="s">
        <v>2263</v>
      </c>
      <c r="B221" s="2" t="s">
        <v>2264</v>
      </c>
      <c r="C221" s="2" t="s">
        <v>2210</v>
      </c>
      <c r="D221" s="2" t="s">
        <v>2224</v>
      </c>
      <c r="E221" s="2" t="s">
        <v>1098</v>
      </c>
      <c r="F221" s="2" t="s">
        <v>2197</v>
      </c>
      <c r="G221" s="5" t="n">
        <v>46210</v>
      </c>
      <c r="H221" s="5" t="n">
        <v>46240</v>
      </c>
      <c r="I221" s="2" t="n">
        <v>30</v>
      </c>
      <c r="J221" s="2" t="s">
        <v>41</v>
      </c>
      <c r="K221" s="6" t="n">
        <v>3200</v>
      </c>
      <c r="L221" s="2" t="s">
        <v>2204</v>
      </c>
      <c r="M221" s="2" t="s">
        <v>1102</v>
      </c>
      <c r="N221" s="2"/>
      <c r="O221" s="7" t="b">
        <f aca="false">FALSE()</f>
        <v>0</v>
      </c>
      <c r="P221" s="2" t="n">
        <v>55</v>
      </c>
      <c r="Q221" s="2" t="s">
        <v>2205</v>
      </c>
      <c r="R221" s="2" t="s">
        <v>2233</v>
      </c>
    </row>
    <row r="222" customFormat="false" ht="15" hidden="false" customHeight="false" outlineLevel="0" collapsed="false">
      <c r="A222" s="2" t="s">
        <v>2263</v>
      </c>
      <c r="B222" s="2" t="s">
        <v>2264</v>
      </c>
      <c r="C222" s="2" t="s">
        <v>2210</v>
      </c>
      <c r="D222" s="2" t="s">
        <v>2224</v>
      </c>
      <c r="E222" s="2" t="s">
        <v>1108</v>
      </c>
      <c r="F222" s="2" t="s">
        <v>2197</v>
      </c>
      <c r="G222" s="5" t="n">
        <v>46219</v>
      </c>
      <c r="H222" s="5" t="n">
        <v>46249</v>
      </c>
      <c r="I222" s="2" t="n">
        <v>30</v>
      </c>
      <c r="J222" s="2" t="s">
        <v>41</v>
      </c>
      <c r="K222" s="6" t="n">
        <v>20773.97</v>
      </c>
      <c r="L222" s="2" t="s">
        <v>43</v>
      </c>
      <c r="M222" s="2"/>
      <c r="N222" s="2"/>
      <c r="O222" s="7" t="b">
        <f aca="false">FALSE()</f>
        <v>0</v>
      </c>
      <c r="P222" s="2" t="n">
        <v>46</v>
      </c>
      <c r="Q222" s="2" t="s">
        <v>2205</v>
      </c>
      <c r="R222" s="2"/>
    </row>
    <row r="223" customFormat="false" ht="15" hidden="false" customHeight="false" outlineLevel="0" collapsed="false">
      <c r="A223" s="2" t="s">
        <v>2263</v>
      </c>
      <c r="B223" s="2" t="s">
        <v>2264</v>
      </c>
      <c r="C223" s="2" t="s">
        <v>2210</v>
      </c>
      <c r="D223" s="2" t="s">
        <v>2224</v>
      </c>
      <c r="E223" s="2" t="s">
        <v>1103</v>
      </c>
      <c r="F223" s="2" t="s">
        <v>2197</v>
      </c>
      <c r="G223" s="5" t="n">
        <v>46225</v>
      </c>
      <c r="H223" s="5" t="n">
        <v>46255</v>
      </c>
      <c r="I223" s="2" t="n">
        <v>30</v>
      </c>
      <c r="J223" s="2" t="s">
        <v>41</v>
      </c>
      <c r="K223" s="6" t="n">
        <v>80240</v>
      </c>
      <c r="L223" s="2" t="s">
        <v>43</v>
      </c>
      <c r="M223" s="2" t="s">
        <v>1107</v>
      </c>
      <c r="N223" s="2"/>
      <c r="O223" s="7" t="b">
        <f aca="false">FALSE()</f>
        <v>0</v>
      </c>
      <c r="P223" s="2" t="n">
        <v>40</v>
      </c>
      <c r="Q223" s="2" t="s">
        <v>2205</v>
      </c>
      <c r="R223" s="2"/>
    </row>
    <row r="224" customFormat="false" ht="15" hidden="false" customHeight="false" outlineLevel="0" collapsed="false">
      <c r="A224" s="2" t="s">
        <v>2263</v>
      </c>
      <c r="B224" s="2" t="s">
        <v>2264</v>
      </c>
      <c r="C224" s="2" t="s">
        <v>2210</v>
      </c>
      <c r="D224" s="2" t="s">
        <v>2224</v>
      </c>
      <c r="E224" s="2" t="s">
        <v>1111</v>
      </c>
      <c r="F224" s="2" t="s">
        <v>2197</v>
      </c>
      <c r="G224" s="5" t="n">
        <v>46228</v>
      </c>
      <c r="H224" s="5" t="n">
        <v>46258</v>
      </c>
      <c r="I224" s="2" t="n">
        <v>30</v>
      </c>
      <c r="J224" s="2" t="s">
        <v>41</v>
      </c>
      <c r="K224" s="6" t="n">
        <v>63823.84</v>
      </c>
      <c r="L224" s="2" t="s">
        <v>43</v>
      </c>
      <c r="M224" s="2"/>
      <c r="N224" s="2"/>
      <c r="O224" s="7" t="b">
        <f aca="false">FALSE()</f>
        <v>0</v>
      </c>
      <c r="P224" s="2" t="n">
        <v>37</v>
      </c>
      <c r="Q224" s="2" t="s">
        <v>2205</v>
      </c>
      <c r="R224" s="2"/>
    </row>
    <row r="225" customFormat="false" ht="15" hidden="false" customHeight="false" outlineLevel="0" collapsed="false">
      <c r="A225" s="2" t="s">
        <v>2263</v>
      </c>
      <c r="B225" s="2" t="s">
        <v>2264</v>
      </c>
      <c r="C225" s="2" t="s">
        <v>2210</v>
      </c>
      <c r="D225" s="2" t="s">
        <v>2224</v>
      </c>
      <c r="E225" s="2" t="s">
        <v>2266</v>
      </c>
      <c r="F225" s="2" t="s">
        <v>2197</v>
      </c>
      <c r="G225" s="5" t="n">
        <v>46253</v>
      </c>
      <c r="H225" s="5" t="n">
        <v>46283</v>
      </c>
      <c r="I225" s="2" t="n">
        <v>30</v>
      </c>
      <c r="J225" s="2" t="s">
        <v>41</v>
      </c>
      <c r="K225" s="6" t="n">
        <v>29736</v>
      </c>
      <c r="L225" s="2" t="s">
        <v>43</v>
      </c>
      <c r="M225" s="2" t="s">
        <v>1117</v>
      </c>
      <c r="N225" s="2"/>
      <c r="O225" s="7" t="b">
        <f aca="false">FALSE()</f>
        <v>0</v>
      </c>
      <c r="P225" s="2" t="n">
        <v>12</v>
      </c>
      <c r="Q225" s="2" t="s">
        <v>2207</v>
      </c>
      <c r="R225" s="2"/>
    </row>
    <row r="226" customFormat="false" ht="15" hidden="false" customHeight="false" outlineLevel="0" collapsed="false">
      <c r="A226" s="2" t="s">
        <v>2263</v>
      </c>
      <c r="B226" s="2" t="s">
        <v>2264</v>
      </c>
      <c r="C226" s="2" t="s">
        <v>2210</v>
      </c>
      <c r="D226" s="2" t="s">
        <v>2224</v>
      </c>
      <c r="E226" s="2" t="s">
        <v>1118</v>
      </c>
      <c r="F226" s="2" t="s">
        <v>2197</v>
      </c>
      <c r="G226" s="5" t="n">
        <v>46254</v>
      </c>
      <c r="H226" s="5" t="n">
        <v>46284</v>
      </c>
      <c r="I226" s="2" t="n">
        <v>30</v>
      </c>
      <c r="J226" s="2" t="s">
        <v>41</v>
      </c>
      <c r="K226" s="6" t="n">
        <v>27943.91</v>
      </c>
      <c r="L226" s="2" t="s">
        <v>43</v>
      </c>
      <c r="M226" s="2" t="s">
        <v>1120</v>
      </c>
      <c r="N226" s="2"/>
      <c r="O226" s="7" t="b">
        <f aca="false">FALSE()</f>
        <v>0</v>
      </c>
      <c r="P226" s="2" t="n">
        <v>11</v>
      </c>
      <c r="Q226" s="2" t="s">
        <v>2207</v>
      </c>
      <c r="R226" s="2"/>
    </row>
    <row r="227" customFormat="false" ht="15" hidden="false" customHeight="false" outlineLevel="0" collapsed="false">
      <c r="A227" s="2" t="s">
        <v>2263</v>
      </c>
      <c r="B227" s="2" t="s">
        <v>2264</v>
      </c>
      <c r="C227" s="2" t="s">
        <v>2210</v>
      </c>
      <c r="D227" s="2" t="s">
        <v>2224</v>
      </c>
      <c r="E227" s="2" t="s">
        <v>1121</v>
      </c>
      <c r="F227" s="2" t="s">
        <v>2197</v>
      </c>
      <c r="G227" s="5" t="n">
        <v>46279</v>
      </c>
      <c r="H227" s="5" t="n">
        <v>46324</v>
      </c>
      <c r="I227" s="2" t="n">
        <v>45</v>
      </c>
      <c r="J227" s="2" t="s">
        <v>41</v>
      </c>
      <c r="K227" s="6" t="n">
        <v>60180</v>
      </c>
      <c r="L227" s="2" t="s">
        <v>2204</v>
      </c>
      <c r="M227" s="2" t="s">
        <v>1124</v>
      </c>
      <c r="N227" s="2"/>
      <c r="O227" s="7" t="b">
        <f aca="false">FALSE()</f>
        <v>0</v>
      </c>
      <c r="P227" s="2" t="n">
        <v>-29</v>
      </c>
      <c r="Q227" s="2" t="s">
        <v>2209</v>
      </c>
      <c r="R227" s="2"/>
    </row>
    <row r="228" customFormat="false" ht="15" hidden="false" customHeight="false" outlineLevel="0" collapsed="false">
      <c r="A228" s="2" t="s">
        <v>2263</v>
      </c>
      <c r="B228" s="2" t="s">
        <v>2264</v>
      </c>
      <c r="C228" s="2" t="s">
        <v>2210</v>
      </c>
      <c r="D228" s="2" t="s">
        <v>2224</v>
      </c>
      <c r="E228" s="2" t="s">
        <v>1125</v>
      </c>
      <c r="F228" s="2" t="s">
        <v>2197</v>
      </c>
      <c r="G228" s="5" t="n">
        <v>46281</v>
      </c>
      <c r="H228" s="5" t="n">
        <v>46311</v>
      </c>
      <c r="I228" s="2" t="n">
        <v>30</v>
      </c>
      <c r="J228" s="2" t="s">
        <v>41</v>
      </c>
      <c r="K228" s="6" t="n">
        <v>18269.01</v>
      </c>
      <c r="L228" s="2" t="s">
        <v>43</v>
      </c>
      <c r="M228" s="2"/>
      <c r="N228" s="2"/>
      <c r="O228" s="7" t="b">
        <f aca="false">FALSE()</f>
        <v>0</v>
      </c>
      <c r="P228" s="2" t="n">
        <v>-16</v>
      </c>
      <c r="Q228" s="2" t="s">
        <v>2209</v>
      </c>
      <c r="R228" s="2" t="s">
        <v>2251</v>
      </c>
    </row>
    <row r="229" customFormat="false" ht="15" hidden="false" customHeight="false" outlineLevel="0" collapsed="false">
      <c r="A229" s="2" t="s">
        <v>2263</v>
      </c>
      <c r="B229" s="2" t="s">
        <v>2264</v>
      </c>
      <c r="C229" s="2" t="s">
        <v>2210</v>
      </c>
      <c r="D229" s="2" t="s">
        <v>2224</v>
      </c>
      <c r="E229" s="2" t="s">
        <v>1127</v>
      </c>
      <c r="F229" s="2" t="s">
        <v>2197</v>
      </c>
      <c r="G229" s="5" t="n">
        <v>46283</v>
      </c>
      <c r="H229" s="5" t="n">
        <v>46313</v>
      </c>
      <c r="I229" s="2" t="n">
        <v>30</v>
      </c>
      <c r="J229" s="2" t="s">
        <v>41</v>
      </c>
      <c r="K229" s="6" t="n">
        <v>31860</v>
      </c>
      <c r="L229" s="2" t="s">
        <v>2204</v>
      </c>
      <c r="M229" s="2" t="s">
        <v>1130</v>
      </c>
      <c r="N229" s="2"/>
      <c r="O229" s="7" t="b">
        <f aca="false">FALSE()</f>
        <v>0</v>
      </c>
      <c r="P229" s="2" t="n">
        <v>-18</v>
      </c>
      <c r="Q229" s="2" t="s">
        <v>2209</v>
      </c>
      <c r="R229" s="2"/>
    </row>
    <row r="230" customFormat="false" ht="15" hidden="false" customHeight="false" outlineLevel="0" collapsed="false">
      <c r="A230" s="2" t="s">
        <v>1132</v>
      </c>
      <c r="B230" s="2" t="s">
        <v>1133</v>
      </c>
      <c r="C230" s="2" t="s">
        <v>2213</v>
      </c>
      <c r="D230" s="2" t="s">
        <v>2227</v>
      </c>
      <c r="E230" s="2" t="s">
        <v>1134</v>
      </c>
      <c r="F230" s="2" t="s">
        <v>2197</v>
      </c>
      <c r="G230" s="5" t="n">
        <v>46256</v>
      </c>
      <c r="H230" s="5" t="n">
        <v>46271</v>
      </c>
      <c r="I230" s="2" t="n">
        <v>15</v>
      </c>
      <c r="J230" s="2" t="s">
        <v>41</v>
      </c>
      <c r="K230" s="6" t="n">
        <v>390580</v>
      </c>
      <c r="L230" s="2" t="s">
        <v>502</v>
      </c>
      <c r="M230" s="2" t="s">
        <v>307</v>
      </c>
      <c r="N230" s="2"/>
      <c r="O230" s="7" t="b">
        <f aca="false">FALSE()</f>
        <v>0</v>
      </c>
      <c r="P230" s="2" t="n">
        <v>24</v>
      </c>
      <c r="Q230" s="2" t="s">
        <v>2207</v>
      </c>
      <c r="R230" s="2"/>
    </row>
    <row r="231" customFormat="false" ht="15" hidden="false" customHeight="false" outlineLevel="0" collapsed="false">
      <c r="A231" s="2" t="s">
        <v>1132</v>
      </c>
      <c r="B231" s="2" t="s">
        <v>1133</v>
      </c>
      <c r="C231" s="2" t="s">
        <v>2213</v>
      </c>
      <c r="D231" s="2" t="s">
        <v>2227</v>
      </c>
      <c r="E231" s="2" t="s">
        <v>1137</v>
      </c>
      <c r="F231" s="2" t="s">
        <v>2197</v>
      </c>
      <c r="G231" s="5" t="n">
        <v>46277</v>
      </c>
      <c r="H231" s="5" t="n">
        <v>46292</v>
      </c>
      <c r="I231" s="2" t="n">
        <v>15</v>
      </c>
      <c r="J231" s="2" t="s">
        <v>41</v>
      </c>
      <c r="K231" s="6" t="n">
        <v>86258</v>
      </c>
      <c r="L231" s="2" t="s">
        <v>502</v>
      </c>
      <c r="M231" s="2" t="s">
        <v>1140</v>
      </c>
      <c r="N231" s="2"/>
      <c r="O231" s="7" t="b">
        <f aca="false">FALSE()</f>
        <v>0</v>
      </c>
      <c r="P231" s="2" t="n">
        <v>3</v>
      </c>
      <c r="Q231" s="2" t="s">
        <v>2207</v>
      </c>
      <c r="R231" s="2" t="s">
        <v>2202</v>
      </c>
    </row>
    <row r="232" customFormat="false" ht="15" hidden="false" customHeight="false" outlineLevel="0" collapsed="false">
      <c r="A232" s="2" t="s">
        <v>1132</v>
      </c>
      <c r="B232" s="2" t="s">
        <v>1133</v>
      </c>
      <c r="C232" s="2" t="s">
        <v>2213</v>
      </c>
      <c r="D232" s="2" t="s">
        <v>2227</v>
      </c>
      <c r="E232" s="2" t="s">
        <v>1141</v>
      </c>
      <c r="F232" s="2" t="s">
        <v>2197</v>
      </c>
      <c r="G232" s="5" t="n">
        <v>46286</v>
      </c>
      <c r="H232" s="5" t="n">
        <v>46301</v>
      </c>
      <c r="I232" s="2" t="n">
        <v>15</v>
      </c>
      <c r="J232" s="2" t="s">
        <v>41</v>
      </c>
      <c r="K232" s="6" t="n">
        <v>14592.61</v>
      </c>
      <c r="L232" s="2" t="s">
        <v>502</v>
      </c>
      <c r="M232" s="2" t="s">
        <v>1145</v>
      </c>
      <c r="N232" s="2"/>
      <c r="O232" s="7" t="b">
        <f aca="false">FALSE()</f>
        <v>0</v>
      </c>
      <c r="P232" s="2" t="n">
        <v>-6</v>
      </c>
      <c r="Q232" s="2" t="s">
        <v>2209</v>
      </c>
      <c r="R232" s="2"/>
    </row>
    <row r="233" customFormat="false" ht="15" hidden="false" customHeight="false" outlineLevel="0" collapsed="false">
      <c r="A233" s="2" t="s">
        <v>2267</v>
      </c>
      <c r="B233" s="2" t="s">
        <v>1148</v>
      </c>
      <c r="C233" s="2" t="s">
        <v>2213</v>
      </c>
      <c r="D233" s="2" t="s">
        <v>2250</v>
      </c>
      <c r="E233" s="2" t="s">
        <v>1149</v>
      </c>
      <c r="F233" s="2" t="s">
        <v>2197</v>
      </c>
      <c r="G233" s="5" t="n">
        <v>46181</v>
      </c>
      <c r="H233" s="5" t="n">
        <v>46211</v>
      </c>
      <c r="I233" s="2" t="n">
        <v>30</v>
      </c>
      <c r="J233" s="2" t="s">
        <v>41</v>
      </c>
      <c r="K233" s="6" t="n">
        <v>25984</v>
      </c>
      <c r="L233" s="2" t="s">
        <v>2204</v>
      </c>
      <c r="M233" s="2" t="s">
        <v>1152</v>
      </c>
      <c r="N233" s="2" t="s">
        <v>549</v>
      </c>
      <c r="O233" s="7" t="b">
        <f aca="false">FALSE()</f>
        <v>0</v>
      </c>
      <c r="P233" s="2" t="n">
        <v>84</v>
      </c>
      <c r="Q233" s="2" t="s">
        <v>2203</v>
      </c>
      <c r="R233" s="2"/>
    </row>
    <row r="234" customFormat="false" ht="15" hidden="false" customHeight="false" outlineLevel="0" collapsed="false">
      <c r="A234" s="2" t="s">
        <v>2267</v>
      </c>
      <c r="B234" s="2" t="s">
        <v>1148</v>
      </c>
      <c r="C234" s="2" t="s">
        <v>2213</v>
      </c>
      <c r="D234" s="2" t="s">
        <v>2250</v>
      </c>
      <c r="E234" s="2" t="s">
        <v>1154</v>
      </c>
      <c r="F234" s="2" t="s">
        <v>2197</v>
      </c>
      <c r="G234" s="5" t="n">
        <v>46230</v>
      </c>
      <c r="H234" s="5" t="n">
        <v>46260</v>
      </c>
      <c r="I234" s="2" t="n">
        <v>30</v>
      </c>
      <c r="J234" s="2" t="s">
        <v>41</v>
      </c>
      <c r="K234" s="6" t="n">
        <v>36570.39</v>
      </c>
      <c r="L234" s="2" t="s">
        <v>2204</v>
      </c>
      <c r="M234" s="2" t="s">
        <v>1156</v>
      </c>
      <c r="N234" s="2"/>
      <c r="O234" s="7" t="b">
        <f aca="false">FALSE()</f>
        <v>0</v>
      </c>
      <c r="P234" s="2" t="n">
        <v>35</v>
      </c>
      <c r="Q234" s="2" t="s">
        <v>2205</v>
      </c>
      <c r="R234" s="2"/>
    </row>
    <row r="235" customFormat="false" ht="15" hidden="false" customHeight="false" outlineLevel="0" collapsed="false">
      <c r="A235" s="2" t="s">
        <v>2267</v>
      </c>
      <c r="B235" s="2" t="s">
        <v>1148</v>
      </c>
      <c r="C235" s="2" t="s">
        <v>2213</v>
      </c>
      <c r="D235" s="2" t="s">
        <v>2250</v>
      </c>
      <c r="E235" s="2" t="s">
        <v>2268</v>
      </c>
      <c r="F235" s="2" t="s">
        <v>2197</v>
      </c>
      <c r="G235" s="5" t="n">
        <v>46280</v>
      </c>
      <c r="H235" s="5" t="n">
        <v>46310</v>
      </c>
      <c r="I235" s="2" t="n">
        <v>30</v>
      </c>
      <c r="J235" s="2" t="s">
        <v>41</v>
      </c>
      <c r="K235" s="6" t="n">
        <v>56522</v>
      </c>
      <c r="L235" s="2" t="s">
        <v>502</v>
      </c>
      <c r="M235" s="2" t="s">
        <v>1159</v>
      </c>
      <c r="N235" s="2"/>
      <c r="O235" s="7" t="b">
        <f aca="false">FALSE()</f>
        <v>0</v>
      </c>
      <c r="P235" s="2" t="n">
        <v>-15</v>
      </c>
      <c r="Q235" s="2" t="s">
        <v>2209</v>
      </c>
      <c r="R235" s="2"/>
    </row>
    <row r="236" customFormat="false" ht="15" hidden="false" customHeight="false" outlineLevel="0" collapsed="false">
      <c r="A236" s="2" t="s">
        <v>2267</v>
      </c>
      <c r="B236" s="2" t="s">
        <v>1148</v>
      </c>
      <c r="C236" s="2" t="s">
        <v>2213</v>
      </c>
      <c r="D236" s="2" t="s">
        <v>2250</v>
      </c>
      <c r="E236" s="2" t="s">
        <v>1160</v>
      </c>
      <c r="F236" s="2" t="s">
        <v>2212</v>
      </c>
      <c r="G236" s="5" t="n">
        <v>46284</v>
      </c>
      <c r="H236" s="5" t="n">
        <v>46284</v>
      </c>
      <c r="I236" s="2" t="n">
        <v>0</v>
      </c>
      <c r="J236" s="2" t="s">
        <v>41</v>
      </c>
      <c r="K236" s="6" t="n">
        <v>-5500</v>
      </c>
      <c r="L236" s="2" t="s">
        <v>162</v>
      </c>
      <c r="M236" s="2"/>
      <c r="N236" s="2"/>
      <c r="O236" s="7" t="b">
        <f aca="false">FALSE()</f>
        <v>0</v>
      </c>
      <c r="P236" s="2" t="n">
        <v>11</v>
      </c>
      <c r="Q236" s="2" t="s">
        <v>2207</v>
      </c>
      <c r="R236" s="2" t="s">
        <v>2223</v>
      </c>
    </row>
    <row r="237" customFormat="false" ht="15" hidden="false" customHeight="false" outlineLevel="0" collapsed="false">
      <c r="A237" s="2" t="s">
        <v>2267</v>
      </c>
      <c r="B237" s="2" t="s">
        <v>1148</v>
      </c>
      <c r="C237" s="2" t="s">
        <v>2213</v>
      </c>
      <c r="D237" s="2" t="s">
        <v>2250</v>
      </c>
      <c r="E237" s="2" t="s">
        <v>1162</v>
      </c>
      <c r="F237" s="2" t="s">
        <v>2197</v>
      </c>
      <c r="G237" s="5" t="n">
        <v>46287</v>
      </c>
      <c r="H237" s="5" t="n">
        <v>46317</v>
      </c>
      <c r="I237" s="2" t="n">
        <v>30</v>
      </c>
      <c r="J237" s="2" t="s">
        <v>41</v>
      </c>
      <c r="K237" s="6" t="n">
        <v>147146</v>
      </c>
      <c r="L237" s="2" t="s">
        <v>502</v>
      </c>
      <c r="M237" s="2" t="s">
        <v>1164</v>
      </c>
      <c r="N237" s="2"/>
      <c r="O237" s="7" t="b">
        <f aca="false">FALSE()</f>
        <v>0</v>
      </c>
      <c r="P237" s="2" t="n">
        <v>-22</v>
      </c>
      <c r="Q237" s="2" t="s">
        <v>2209</v>
      </c>
      <c r="R237" s="2"/>
    </row>
    <row r="238" customFormat="false" ht="15" hidden="false" customHeight="false" outlineLevel="0" collapsed="false">
      <c r="A238" s="2" t="s">
        <v>1166</v>
      </c>
      <c r="B238" s="2" t="s">
        <v>2269</v>
      </c>
      <c r="C238" s="2" t="s">
        <v>2213</v>
      </c>
      <c r="D238" s="2" t="s">
        <v>2224</v>
      </c>
      <c r="E238" s="2" t="s">
        <v>1168</v>
      </c>
      <c r="F238" s="2" t="s">
        <v>2197</v>
      </c>
      <c r="G238" s="5" t="n">
        <v>45938</v>
      </c>
      <c r="H238" s="5" t="n">
        <v>45968</v>
      </c>
      <c r="I238" s="2" t="n">
        <v>30</v>
      </c>
      <c r="J238" s="2" t="s">
        <v>41</v>
      </c>
      <c r="K238" s="6" t="n">
        <v>12508</v>
      </c>
      <c r="L238" s="2" t="s">
        <v>137</v>
      </c>
      <c r="M238" s="2" t="s">
        <v>1170</v>
      </c>
      <c r="N238" s="2"/>
      <c r="O238" s="7" t="b">
        <f aca="false">FALSE()</f>
        <v>0</v>
      </c>
      <c r="P238" s="2" t="n">
        <v>327</v>
      </c>
      <c r="Q238" s="2" t="s">
        <v>2198</v>
      </c>
      <c r="R238" s="2"/>
    </row>
    <row r="239" customFormat="false" ht="15" hidden="false" customHeight="false" outlineLevel="0" collapsed="false">
      <c r="A239" s="2" t="s">
        <v>1166</v>
      </c>
      <c r="B239" s="2" t="s">
        <v>2269</v>
      </c>
      <c r="C239" s="2" t="s">
        <v>2213</v>
      </c>
      <c r="D239" s="2" t="s">
        <v>2224</v>
      </c>
      <c r="E239" s="2" t="s">
        <v>1171</v>
      </c>
      <c r="F239" s="2" t="s">
        <v>2197</v>
      </c>
      <c r="G239" s="5" t="n">
        <v>46047</v>
      </c>
      <c r="H239" s="5" t="n">
        <v>46077</v>
      </c>
      <c r="I239" s="2" t="n">
        <v>30</v>
      </c>
      <c r="J239" s="2" t="s">
        <v>41</v>
      </c>
      <c r="K239" s="6" t="n">
        <v>98050.61</v>
      </c>
      <c r="L239" s="2" t="s">
        <v>137</v>
      </c>
      <c r="M239" s="2" t="s">
        <v>1175</v>
      </c>
      <c r="N239" s="2"/>
      <c r="O239" s="7" t="b">
        <f aca="false">FALSE()</f>
        <v>0</v>
      </c>
      <c r="P239" s="2" t="n">
        <v>218</v>
      </c>
      <c r="Q239" s="2" t="s">
        <v>2198</v>
      </c>
      <c r="R239" s="2"/>
    </row>
    <row r="240" customFormat="false" ht="15" hidden="false" customHeight="false" outlineLevel="0" collapsed="false">
      <c r="A240" s="2" t="s">
        <v>1166</v>
      </c>
      <c r="B240" s="2" t="s">
        <v>2269</v>
      </c>
      <c r="C240" s="2" t="s">
        <v>2213</v>
      </c>
      <c r="D240" s="2" t="s">
        <v>2224</v>
      </c>
      <c r="E240" s="2" t="s">
        <v>1176</v>
      </c>
      <c r="F240" s="2" t="s">
        <v>2197</v>
      </c>
      <c r="G240" s="5" t="n">
        <v>46101</v>
      </c>
      <c r="H240" s="5" t="n">
        <v>46131</v>
      </c>
      <c r="I240" s="2" t="n">
        <v>30</v>
      </c>
      <c r="J240" s="2" t="s">
        <v>41</v>
      </c>
      <c r="K240" s="6" t="n">
        <v>64782</v>
      </c>
      <c r="L240" s="2" t="s">
        <v>137</v>
      </c>
      <c r="M240" s="2" t="s">
        <v>1179</v>
      </c>
      <c r="N240" s="2"/>
      <c r="O240" s="7" t="b">
        <f aca="false">FALSE()</f>
        <v>0</v>
      </c>
      <c r="P240" s="2" t="n">
        <v>164</v>
      </c>
      <c r="Q240" s="2" t="s">
        <v>2201</v>
      </c>
      <c r="R240" s="2"/>
    </row>
    <row r="241" customFormat="false" ht="15" hidden="false" customHeight="false" outlineLevel="0" collapsed="false">
      <c r="A241" s="2" t="s">
        <v>1166</v>
      </c>
      <c r="B241" s="2" t="s">
        <v>2269</v>
      </c>
      <c r="C241" s="2" t="s">
        <v>2213</v>
      </c>
      <c r="D241" s="2" t="s">
        <v>2224</v>
      </c>
      <c r="E241" s="2" t="s">
        <v>1180</v>
      </c>
      <c r="F241" s="2" t="s">
        <v>2197</v>
      </c>
      <c r="G241" s="5" t="n">
        <v>46241</v>
      </c>
      <c r="H241" s="5" t="n">
        <v>46271</v>
      </c>
      <c r="I241" s="2" t="n">
        <v>30</v>
      </c>
      <c r="J241" s="2" t="s">
        <v>41</v>
      </c>
      <c r="K241" s="6" t="n">
        <v>593712</v>
      </c>
      <c r="L241" s="2" t="s">
        <v>137</v>
      </c>
      <c r="M241" s="2" t="s">
        <v>1182</v>
      </c>
      <c r="N241" s="2"/>
      <c r="O241" s="7" t="b">
        <f aca="false">FALSE()</f>
        <v>0</v>
      </c>
      <c r="P241" s="2" t="n">
        <v>24</v>
      </c>
      <c r="Q241" s="2" t="s">
        <v>2207</v>
      </c>
      <c r="R241" s="2" t="s">
        <v>2202</v>
      </c>
    </row>
    <row r="242" customFormat="false" ht="15" hidden="false" customHeight="false" outlineLevel="0" collapsed="false">
      <c r="A242" s="2" t="s">
        <v>1166</v>
      </c>
      <c r="B242" s="2" t="s">
        <v>2269</v>
      </c>
      <c r="C242" s="2" t="s">
        <v>2213</v>
      </c>
      <c r="D242" s="2" t="s">
        <v>2224</v>
      </c>
      <c r="E242" s="2" t="s">
        <v>1183</v>
      </c>
      <c r="F242" s="2" t="s">
        <v>2197</v>
      </c>
      <c r="G242" s="5" t="n">
        <v>46242</v>
      </c>
      <c r="H242" s="5" t="n">
        <v>46272</v>
      </c>
      <c r="I242" s="2" t="n">
        <v>30</v>
      </c>
      <c r="J242" s="2" t="s">
        <v>41</v>
      </c>
      <c r="K242" s="6" t="n">
        <v>23465.16</v>
      </c>
      <c r="L242" s="2" t="s">
        <v>137</v>
      </c>
      <c r="M242" s="2" t="s">
        <v>1185</v>
      </c>
      <c r="N242" s="2"/>
      <c r="O242" s="7" t="b">
        <f aca="false">FALSE()</f>
        <v>0</v>
      </c>
      <c r="P242" s="2" t="n">
        <v>23</v>
      </c>
      <c r="Q242" s="2" t="s">
        <v>2207</v>
      </c>
      <c r="R242" s="2"/>
    </row>
    <row r="243" customFormat="false" ht="15" hidden="false" customHeight="false" outlineLevel="0" collapsed="false">
      <c r="A243" s="2" t="s">
        <v>1166</v>
      </c>
      <c r="B243" s="2" t="s">
        <v>2269</v>
      </c>
      <c r="C243" s="2" t="s">
        <v>2213</v>
      </c>
      <c r="D243" s="2" t="s">
        <v>2224</v>
      </c>
      <c r="E243" s="2" t="s">
        <v>1186</v>
      </c>
      <c r="F243" s="2" t="s">
        <v>2197</v>
      </c>
      <c r="G243" s="5" t="n">
        <v>46247</v>
      </c>
      <c r="H243" s="5" t="n">
        <v>46277</v>
      </c>
      <c r="I243" s="2" t="n">
        <v>30</v>
      </c>
      <c r="J243" s="2" t="s">
        <v>41</v>
      </c>
      <c r="K243" s="6" t="n">
        <v>35636</v>
      </c>
      <c r="L243" s="2" t="s">
        <v>137</v>
      </c>
      <c r="M243" s="2" t="s">
        <v>1190</v>
      </c>
      <c r="N243" s="2"/>
      <c r="O243" s="7" t="b">
        <f aca="false">FALSE()</f>
        <v>0</v>
      </c>
      <c r="P243" s="2" t="n">
        <v>18</v>
      </c>
      <c r="Q243" s="2" t="s">
        <v>2207</v>
      </c>
      <c r="R243" s="2"/>
    </row>
    <row r="244" customFormat="false" ht="15" hidden="false" customHeight="false" outlineLevel="0" collapsed="false">
      <c r="A244" s="2" t="s">
        <v>1192</v>
      </c>
      <c r="B244" s="2" t="s">
        <v>1193</v>
      </c>
      <c r="C244" s="2" t="s">
        <v>2210</v>
      </c>
      <c r="D244" s="2" t="s">
        <v>2211</v>
      </c>
      <c r="E244" s="2" t="s">
        <v>1194</v>
      </c>
      <c r="F244" s="2" t="s">
        <v>2197</v>
      </c>
      <c r="G244" s="5" t="n">
        <v>46005</v>
      </c>
      <c r="H244" s="5" t="n">
        <v>46020</v>
      </c>
      <c r="I244" s="2" t="n">
        <v>15</v>
      </c>
      <c r="J244" s="2" t="s">
        <v>41</v>
      </c>
      <c r="K244" s="6" t="n">
        <v>242844</v>
      </c>
      <c r="L244" s="2" t="s">
        <v>43</v>
      </c>
      <c r="M244" s="2" t="s">
        <v>1198</v>
      </c>
      <c r="N244" s="2"/>
      <c r="O244" s="7" t="b">
        <f aca="false">FALSE()</f>
        <v>0</v>
      </c>
      <c r="P244" s="2" t="n">
        <v>275</v>
      </c>
      <c r="Q244" s="2" t="s">
        <v>2198</v>
      </c>
      <c r="R244" s="2"/>
    </row>
    <row r="245" customFormat="false" ht="15" hidden="false" customHeight="false" outlineLevel="0" collapsed="false">
      <c r="A245" s="2" t="s">
        <v>1192</v>
      </c>
      <c r="B245" s="2" t="s">
        <v>1193</v>
      </c>
      <c r="C245" s="2" t="s">
        <v>2210</v>
      </c>
      <c r="D245" s="2" t="s">
        <v>2211</v>
      </c>
      <c r="E245" s="2" t="s">
        <v>1199</v>
      </c>
      <c r="F245" s="2" t="s">
        <v>2197</v>
      </c>
      <c r="G245" s="5" t="n">
        <v>46183</v>
      </c>
      <c r="H245" s="5" t="n">
        <v>46198</v>
      </c>
      <c r="I245" s="2" t="n">
        <v>15</v>
      </c>
      <c r="J245" s="2" t="s">
        <v>41</v>
      </c>
      <c r="K245" s="6" t="n">
        <v>44576.94</v>
      </c>
      <c r="L245" s="2" t="s">
        <v>43</v>
      </c>
      <c r="M245" s="2" t="s">
        <v>1201</v>
      </c>
      <c r="N245" s="2" t="s">
        <v>1202</v>
      </c>
      <c r="O245" s="7" t="b">
        <f aca="false">TRUE()</f>
        <v>1</v>
      </c>
      <c r="P245" s="2" t="n">
        <v>97</v>
      </c>
      <c r="Q245" s="2" t="s">
        <v>2201</v>
      </c>
      <c r="R245" s="2"/>
    </row>
    <row r="246" customFormat="false" ht="15" hidden="false" customHeight="false" outlineLevel="0" collapsed="false">
      <c r="A246" s="2" t="s">
        <v>1192</v>
      </c>
      <c r="B246" s="2" t="s">
        <v>1193</v>
      </c>
      <c r="C246" s="2" t="s">
        <v>2210</v>
      </c>
      <c r="D246" s="2" t="s">
        <v>2211</v>
      </c>
      <c r="E246" s="2" t="s">
        <v>1203</v>
      </c>
      <c r="F246" s="2" t="s">
        <v>2197</v>
      </c>
      <c r="G246" s="5" t="n">
        <v>46228</v>
      </c>
      <c r="H246" s="5" t="n">
        <v>46243</v>
      </c>
      <c r="I246" s="2" t="n">
        <v>15</v>
      </c>
      <c r="J246" s="2" t="s">
        <v>41</v>
      </c>
      <c r="K246" s="6" t="n">
        <v>114696</v>
      </c>
      <c r="L246" s="2" t="s">
        <v>43</v>
      </c>
      <c r="M246" s="2"/>
      <c r="N246" s="2"/>
      <c r="O246" s="7" t="b">
        <f aca="false">FALSE()</f>
        <v>0</v>
      </c>
      <c r="P246" s="2" t="n">
        <v>52</v>
      </c>
      <c r="Q246" s="2" t="s">
        <v>2205</v>
      </c>
      <c r="R246" s="2"/>
    </row>
    <row r="247" customFormat="false" ht="15" hidden="false" customHeight="false" outlineLevel="0" collapsed="false">
      <c r="A247" s="2" t="s">
        <v>1192</v>
      </c>
      <c r="B247" s="2" t="s">
        <v>1193</v>
      </c>
      <c r="C247" s="2" t="s">
        <v>2210</v>
      </c>
      <c r="D247" s="2" t="s">
        <v>2211</v>
      </c>
      <c r="E247" s="2" t="s">
        <v>1206</v>
      </c>
      <c r="F247" s="2" t="s">
        <v>2197</v>
      </c>
      <c r="G247" s="5" t="n">
        <v>46238</v>
      </c>
      <c r="H247" s="5" t="n">
        <v>46253</v>
      </c>
      <c r="I247" s="2" t="n">
        <v>15</v>
      </c>
      <c r="J247" s="2" t="s">
        <v>41</v>
      </c>
      <c r="K247" s="6" t="n">
        <v>293230</v>
      </c>
      <c r="L247" s="2" t="s">
        <v>43</v>
      </c>
      <c r="M247" s="2" t="s">
        <v>1209</v>
      </c>
      <c r="N247" s="2"/>
      <c r="O247" s="7" t="b">
        <f aca="false">FALSE()</f>
        <v>0</v>
      </c>
      <c r="P247" s="2" t="n">
        <v>42</v>
      </c>
      <c r="Q247" s="2" t="s">
        <v>2205</v>
      </c>
      <c r="R247" s="2"/>
    </row>
    <row r="248" customFormat="false" ht="15" hidden="false" customHeight="false" outlineLevel="0" collapsed="false">
      <c r="A248" s="2" t="s">
        <v>1211</v>
      </c>
      <c r="B248" s="2" t="s">
        <v>1212</v>
      </c>
      <c r="C248" s="2" t="s">
        <v>2213</v>
      </c>
      <c r="D248" s="2" t="s">
        <v>2215</v>
      </c>
      <c r="E248" s="2" t="s">
        <v>1223</v>
      </c>
      <c r="F248" s="2" t="s">
        <v>2197</v>
      </c>
      <c r="G248" s="5" t="n">
        <v>45793</v>
      </c>
      <c r="H248" s="5" t="n">
        <v>45823</v>
      </c>
      <c r="I248" s="2" t="n">
        <v>30</v>
      </c>
      <c r="J248" s="2" t="s">
        <v>41</v>
      </c>
      <c r="K248" s="6" t="n">
        <v>44959.63</v>
      </c>
      <c r="L248" s="2" t="s">
        <v>162</v>
      </c>
      <c r="M248" s="2" t="s">
        <v>1227</v>
      </c>
      <c r="N248" s="2"/>
      <c r="O248" s="7" t="b">
        <f aca="false">FALSE()</f>
        <v>0</v>
      </c>
      <c r="P248" s="2" t="n">
        <v>472</v>
      </c>
      <c r="Q248" s="2" t="s">
        <v>2198</v>
      </c>
      <c r="R248" s="2" t="s">
        <v>2208</v>
      </c>
    </row>
    <row r="249" customFormat="false" ht="15" hidden="false" customHeight="false" outlineLevel="0" collapsed="false">
      <c r="A249" s="2" t="s">
        <v>1211</v>
      </c>
      <c r="B249" s="2" t="s">
        <v>1212</v>
      </c>
      <c r="C249" s="2" t="s">
        <v>2213</v>
      </c>
      <c r="D249" s="2" t="s">
        <v>2215</v>
      </c>
      <c r="E249" s="2" t="s">
        <v>1213</v>
      </c>
      <c r="F249" s="2" t="s">
        <v>2197</v>
      </c>
      <c r="G249" s="5" t="n">
        <v>45943</v>
      </c>
      <c r="H249" s="5" t="n">
        <v>45973</v>
      </c>
      <c r="I249" s="2" t="n">
        <v>30</v>
      </c>
      <c r="J249" s="2" t="s">
        <v>41</v>
      </c>
      <c r="K249" s="6" t="n">
        <v>32634.25</v>
      </c>
      <c r="L249" s="2" t="s">
        <v>162</v>
      </c>
      <c r="M249" s="2" t="s">
        <v>1217</v>
      </c>
      <c r="N249" s="2"/>
      <c r="O249" s="7" t="b">
        <f aca="false">FALSE()</f>
        <v>0</v>
      </c>
      <c r="P249" s="2" t="n">
        <v>322</v>
      </c>
      <c r="Q249" s="2" t="s">
        <v>2198</v>
      </c>
      <c r="R249" s="2"/>
    </row>
    <row r="250" customFormat="false" ht="15" hidden="false" customHeight="false" outlineLevel="0" collapsed="false">
      <c r="A250" s="2" t="s">
        <v>1211</v>
      </c>
      <c r="B250" s="2" t="s">
        <v>1212</v>
      </c>
      <c r="C250" s="2" t="s">
        <v>2213</v>
      </c>
      <c r="D250" s="2" t="s">
        <v>2215</v>
      </c>
      <c r="E250" s="2" t="s">
        <v>1218</v>
      </c>
      <c r="F250" s="2" t="s">
        <v>2197</v>
      </c>
      <c r="G250" s="5" t="n">
        <v>46059</v>
      </c>
      <c r="H250" s="5" t="n">
        <v>46089</v>
      </c>
      <c r="I250" s="2" t="n">
        <v>30</v>
      </c>
      <c r="J250" s="2" t="s">
        <v>41</v>
      </c>
      <c r="K250" s="6" t="n">
        <v>60652</v>
      </c>
      <c r="L250" s="2" t="s">
        <v>162</v>
      </c>
      <c r="M250" s="2" t="s">
        <v>1222</v>
      </c>
      <c r="N250" s="2"/>
      <c r="O250" s="7" t="b">
        <f aca="false">FALSE()</f>
        <v>0</v>
      </c>
      <c r="P250" s="2" t="n">
        <v>206</v>
      </c>
      <c r="Q250" s="2" t="s">
        <v>2198</v>
      </c>
      <c r="R250" s="2"/>
    </row>
    <row r="251" customFormat="false" ht="15" hidden="false" customHeight="false" outlineLevel="0" collapsed="false">
      <c r="A251" s="2" t="s">
        <v>1211</v>
      </c>
      <c r="B251" s="2" t="s">
        <v>1212</v>
      </c>
      <c r="C251" s="2" t="s">
        <v>2213</v>
      </c>
      <c r="D251" s="2" t="s">
        <v>2215</v>
      </c>
      <c r="E251" s="2" t="s">
        <v>1228</v>
      </c>
      <c r="F251" s="2" t="s">
        <v>2197</v>
      </c>
      <c r="G251" s="5" t="n">
        <v>46090</v>
      </c>
      <c r="H251" s="5" t="n">
        <v>46120</v>
      </c>
      <c r="I251" s="2" t="n">
        <v>30</v>
      </c>
      <c r="J251" s="2" t="s">
        <v>41</v>
      </c>
      <c r="K251" s="6" t="n">
        <v>104430</v>
      </c>
      <c r="L251" s="2" t="s">
        <v>162</v>
      </c>
      <c r="M251" s="2"/>
      <c r="N251" s="2"/>
      <c r="O251" s="7" t="b">
        <f aca="false">FALSE()</f>
        <v>0</v>
      </c>
      <c r="P251" s="2" t="n">
        <v>175</v>
      </c>
      <c r="Q251" s="2" t="s">
        <v>2201</v>
      </c>
      <c r="R251" s="2"/>
    </row>
    <row r="252" customFormat="false" ht="15" hidden="false" customHeight="false" outlineLevel="0" collapsed="false">
      <c r="A252" s="2" t="s">
        <v>1211</v>
      </c>
      <c r="B252" s="2" t="s">
        <v>1212</v>
      </c>
      <c r="C252" s="2" t="s">
        <v>2213</v>
      </c>
      <c r="D252" s="2" t="s">
        <v>2215</v>
      </c>
      <c r="E252" s="2" t="s">
        <v>1232</v>
      </c>
      <c r="F252" s="2" t="s">
        <v>2197</v>
      </c>
      <c r="G252" s="5" t="n">
        <v>46131</v>
      </c>
      <c r="H252" s="5" t="n">
        <v>46161</v>
      </c>
      <c r="I252" s="2" t="n">
        <v>30</v>
      </c>
      <c r="J252" s="2" t="s">
        <v>41</v>
      </c>
      <c r="K252" s="6" t="n">
        <v>71456</v>
      </c>
      <c r="L252" s="2" t="s">
        <v>162</v>
      </c>
      <c r="M252" s="2"/>
      <c r="N252" s="2"/>
      <c r="O252" s="7" t="b">
        <f aca="false">FALSE()</f>
        <v>0</v>
      </c>
      <c r="P252" s="2" t="n">
        <v>134</v>
      </c>
      <c r="Q252" s="2" t="s">
        <v>2201</v>
      </c>
      <c r="R252" s="2" t="s">
        <v>2208</v>
      </c>
    </row>
    <row r="253" customFormat="false" ht="15" hidden="false" customHeight="false" outlineLevel="0" collapsed="false">
      <c r="A253" s="2" t="s">
        <v>1211</v>
      </c>
      <c r="B253" s="2" t="s">
        <v>1212</v>
      </c>
      <c r="C253" s="2" t="s">
        <v>2213</v>
      </c>
      <c r="D253" s="2" t="s">
        <v>2215</v>
      </c>
      <c r="E253" s="2" t="s">
        <v>1234</v>
      </c>
      <c r="F253" s="2" t="s">
        <v>2197</v>
      </c>
      <c r="G253" s="5" t="n">
        <v>46134</v>
      </c>
      <c r="H253" s="5" t="n">
        <v>46164</v>
      </c>
      <c r="I253" s="2" t="n">
        <v>30</v>
      </c>
      <c r="J253" s="2" t="s">
        <v>41</v>
      </c>
      <c r="K253" s="6" t="n">
        <v>12008.01</v>
      </c>
      <c r="L253" s="2" t="s">
        <v>162</v>
      </c>
      <c r="M253" s="2" t="s">
        <v>1237</v>
      </c>
      <c r="N253" s="2" t="s">
        <v>462</v>
      </c>
      <c r="O253" s="7" t="b">
        <f aca="false">FALSE()</f>
        <v>0</v>
      </c>
      <c r="P253" s="2" t="n">
        <v>131</v>
      </c>
      <c r="Q253" s="2" t="s">
        <v>2201</v>
      </c>
      <c r="R253" s="2" t="s">
        <v>2202</v>
      </c>
    </row>
    <row r="254" customFormat="false" ht="15" hidden="false" customHeight="false" outlineLevel="0" collapsed="false">
      <c r="A254" s="2" t="s">
        <v>1211</v>
      </c>
      <c r="B254" s="2" t="s">
        <v>1212</v>
      </c>
      <c r="C254" s="2" t="s">
        <v>2213</v>
      </c>
      <c r="D254" s="2" t="s">
        <v>2215</v>
      </c>
      <c r="E254" s="2" t="s">
        <v>1238</v>
      </c>
      <c r="F254" s="2" t="s">
        <v>2197</v>
      </c>
      <c r="G254" s="5" t="n">
        <v>46137</v>
      </c>
      <c r="H254" s="5" t="n">
        <v>46167</v>
      </c>
      <c r="I254" s="2" t="n">
        <v>30</v>
      </c>
      <c r="J254" s="2" t="s">
        <v>41</v>
      </c>
      <c r="K254" s="6" t="n">
        <v>32077.35</v>
      </c>
      <c r="L254" s="2" t="s">
        <v>162</v>
      </c>
      <c r="M254" s="2" t="s">
        <v>1242</v>
      </c>
      <c r="N254" s="2"/>
      <c r="O254" s="7" t="b">
        <f aca="false">FALSE()</f>
        <v>0</v>
      </c>
      <c r="P254" s="2" t="n">
        <v>128</v>
      </c>
      <c r="Q254" s="2" t="s">
        <v>2201</v>
      </c>
      <c r="R254" s="2"/>
    </row>
    <row r="255" customFormat="false" ht="15" hidden="false" customHeight="false" outlineLevel="0" collapsed="false">
      <c r="A255" s="2" t="s">
        <v>1211</v>
      </c>
      <c r="B255" s="2" t="s">
        <v>1212</v>
      </c>
      <c r="C255" s="2" t="s">
        <v>2213</v>
      </c>
      <c r="D255" s="2" t="s">
        <v>2215</v>
      </c>
      <c r="E255" s="2" t="s">
        <v>1243</v>
      </c>
      <c r="F255" s="2" t="s">
        <v>2197</v>
      </c>
      <c r="G255" s="5" t="n">
        <v>46157</v>
      </c>
      <c r="H255" s="5" t="n">
        <v>46187</v>
      </c>
      <c r="I255" s="2" t="n">
        <v>30</v>
      </c>
      <c r="J255" s="2" t="s">
        <v>41</v>
      </c>
      <c r="K255" s="6" t="n">
        <v>20060</v>
      </c>
      <c r="L255" s="2" t="s">
        <v>162</v>
      </c>
      <c r="M255" s="2" t="s">
        <v>1246</v>
      </c>
      <c r="N255" s="2"/>
      <c r="O255" s="7" t="b">
        <f aca="false">FALSE()</f>
        <v>0</v>
      </c>
      <c r="P255" s="2" t="n">
        <v>108</v>
      </c>
      <c r="Q255" s="2" t="s">
        <v>2201</v>
      </c>
      <c r="R255" s="2"/>
    </row>
    <row r="256" customFormat="false" ht="15" hidden="false" customHeight="false" outlineLevel="0" collapsed="false">
      <c r="A256" s="2" t="s">
        <v>1211</v>
      </c>
      <c r="B256" s="2" t="s">
        <v>1212</v>
      </c>
      <c r="C256" s="2" t="s">
        <v>2213</v>
      </c>
      <c r="D256" s="2" t="s">
        <v>2215</v>
      </c>
      <c r="E256" s="2" t="s">
        <v>1247</v>
      </c>
      <c r="F256" s="2" t="s">
        <v>2197</v>
      </c>
      <c r="G256" s="5" t="n">
        <v>46196</v>
      </c>
      <c r="H256" s="5" t="n">
        <v>46226</v>
      </c>
      <c r="I256" s="2" t="n">
        <v>30</v>
      </c>
      <c r="J256" s="2" t="s">
        <v>41</v>
      </c>
      <c r="K256" s="6" t="n">
        <v>58528</v>
      </c>
      <c r="L256" s="2" t="s">
        <v>162</v>
      </c>
      <c r="M256" s="2" t="s">
        <v>1251</v>
      </c>
      <c r="N256" s="2"/>
      <c r="O256" s="7" t="b">
        <f aca="false">FALSE()</f>
        <v>0</v>
      </c>
      <c r="P256" s="2" t="n">
        <v>69</v>
      </c>
      <c r="Q256" s="2" t="s">
        <v>2203</v>
      </c>
      <c r="R256" s="2" t="s">
        <v>2200</v>
      </c>
    </row>
    <row r="257" customFormat="false" ht="15" hidden="false" customHeight="false" outlineLevel="0" collapsed="false">
      <c r="A257" s="2" t="s">
        <v>1211</v>
      </c>
      <c r="B257" s="2" t="s">
        <v>1212</v>
      </c>
      <c r="C257" s="2" t="s">
        <v>2213</v>
      </c>
      <c r="D257" s="2" t="s">
        <v>2215</v>
      </c>
      <c r="E257" s="2" t="s">
        <v>1252</v>
      </c>
      <c r="F257" s="2" t="s">
        <v>2197</v>
      </c>
      <c r="G257" s="5" t="n">
        <v>46199</v>
      </c>
      <c r="H257" s="5" t="n">
        <v>46244</v>
      </c>
      <c r="I257" s="2" t="n">
        <v>45</v>
      </c>
      <c r="J257" s="2" t="s">
        <v>41</v>
      </c>
      <c r="K257" s="6" t="n">
        <v>67008.51</v>
      </c>
      <c r="L257" s="2" t="s">
        <v>162</v>
      </c>
      <c r="M257" s="2" t="s">
        <v>1254</v>
      </c>
      <c r="N257" s="2"/>
      <c r="O257" s="7" t="b">
        <f aca="false">FALSE()</f>
        <v>0</v>
      </c>
      <c r="P257" s="2" t="n">
        <v>51</v>
      </c>
      <c r="Q257" s="2" t="s">
        <v>2205</v>
      </c>
      <c r="R257" s="2"/>
    </row>
    <row r="258" customFormat="false" ht="15" hidden="false" customHeight="false" outlineLevel="0" collapsed="false">
      <c r="A258" s="2" t="s">
        <v>1211</v>
      </c>
      <c r="B258" s="2" t="s">
        <v>1212</v>
      </c>
      <c r="C258" s="2" t="s">
        <v>2213</v>
      </c>
      <c r="D258" s="2" t="s">
        <v>2215</v>
      </c>
      <c r="E258" s="2" t="s">
        <v>1255</v>
      </c>
      <c r="F258" s="2" t="s">
        <v>2197</v>
      </c>
      <c r="G258" s="5" t="n">
        <v>46212</v>
      </c>
      <c r="H258" s="5" t="n">
        <v>46242</v>
      </c>
      <c r="I258" s="2" t="n">
        <v>30</v>
      </c>
      <c r="J258" s="2" t="s">
        <v>41</v>
      </c>
      <c r="K258" s="6" t="n">
        <v>474351.21</v>
      </c>
      <c r="L258" s="2" t="s">
        <v>162</v>
      </c>
      <c r="M258" s="2" t="s">
        <v>1258</v>
      </c>
      <c r="N258" s="2" t="s">
        <v>272</v>
      </c>
      <c r="O258" s="7" t="b">
        <f aca="false">TRUE()</f>
        <v>1</v>
      </c>
      <c r="P258" s="2" t="n">
        <v>53</v>
      </c>
      <c r="Q258" s="2" t="s">
        <v>2205</v>
      </c>
      <c r="R258" s="2"/>
    </row>
    <row r="259" customFormat="false" ht="15" hidden="false" customHeight="false" outlineLevel="0" collapsed="false">
      <c r="A259" s="2" t="s">
        <v>1211</v>
      </c>
      <c r="B259" s="2" t="s">
        <v>1212</v>
      </c>
      <c r="C259" s="2" t="s">
        <v>2213</v>
      </c>
      <c r="D259" s="2" t="s">
        <v>2215</v>
      </c>
      <c r="E259" s="2" t="s">
        <v>1259</v>
      </c>
      <c r="F259" s="2" t="s">
        <v>2197</v>
      </c>
      <c r="G259" s="5" t="n">
        <v>46222</v>
      </c>
      <c r="H259" s="5" t="n">
        <v>46252</v>
      </c>
      <c r="I259" s="2" t="n">
        <v>30</v>
      </c>
      <c r="J259" s="2" t="s">
        <v>41</v>
      </c>
      <c r="K259" s="6" t="n">
        <v>61168.17</v>
      </c>
      <c r="L259" s="2" t="s">
        <v>162</v>
      </c>
      <c r="M259" s="2" t="s">
        <v>1263</v>
      </c>
      <c r="N259" s="2"/>
      <c r="O259" s="7" t="b">
        <f aca="false">FALSE()</f>
        <v>0</v>
      </c>
      <c r="P259" s="2" t="n">
        <v>43</v>
      </c>
      <c r="Q259" s="2" t="s">
        <v>2205</v>
      </c>
      <c r="R259" s="2"/>
    </row>
    <row r="260" customFormat="false" ht="15" hidden="false" customHeight="false" outlineLevel="0" collapsed="false">
      <c r="A260" s="2" t="s">
        <v>1211</v>
      </c>
      <c r="B260" s="2" t="s">
        <v>1212</v>
      </c>
      <c r="C260" s="2" t="s">
        <v>2213</v>
      </c>
      <c r="D260" s="2" t="s">
        <v>2215</v>
      </c>
      <c r="E260" s="2" t="s">
        <v>1264</v>
      </c>
      <c r="F260" s="2" t="s">
        <v>2197</v>
      </c>
      <c r="G260" s="5" t="n">
        <v>46227</v>
      </c>
      <c r="H260" s="5" t="n">
        <v>46257</v>
      </c>
      <c r="I260" s="2" t="n">
        <v>30</v>
      </c>
      <c r="J260" s="2" t="s">
        <v>41</v>
      </c>
      <c r="K260" s="6" t="n">
        <v>101952</v>
      </c>
      <c r="L260" s="2" t="s">
        <v>162</v>
      </c>
      <c r="M260" s="2"/>
      <c r="N260" s="2"/>
      <c r="O260" s="7" t="b">
        <f aca="false">FALSE()</f>
        <v>0</v>
      </c>
      <c r="P260" s="2" t="n">
        <v>38</v>
      </c>
      <c r="Q260" s="2" t="s">
        <v>2205</v>
      </c>
      <c r="R260" s="2"/>
    </row>
    <row r="261" customFormat="false" ht="15" hidden="false" customHeight="false" outlineLevel="0" collapsed="false">
      <c r="A261" s="2" t="s">
        <v>1211</v>
      </c>
      <c r="B261" s="2" t="s">
        <v>1212</v>
      </c>
      <c r="C261" s="2" t="s">
        <v>2213</v>
      </c>
      <c r="D261" s="2" t="s">
        <v>2215</v>
      </c>
      <c r="E261" s="2" t="s">
        <v>1267</v>
      </c>
      <c r="F261" s="2" t="s">
        <v>2197</v>
      </c>
      <c r="G261" s="5" t="n">
        <v>46227</v>
      </c>
      <c r="H261" s="5" t="n">
        <v>46257</v>
      </c>
      <c r="I261" s="2" t="n">
        <v>30</v>
      </c>
      <c r="J261" s="2" t="s">
        <v>41</v>
      </c>
      <c r="K261" s="6" t="n">
        <v>18243.41</v>
      </c>
      <c r="L261" s="2" t="s">
        <v>162</v>
      </c>
      <c r="M261" s="2" t="s">
        <v>1269</v>
      </c>
      <c r="N261" s="2"/>
      <c r="O261" s="7" t="b">
        <f aca="false">FALSE()</f>
        <v>0</v>
      </c>
      <c r="P261" s="2" t="n">
        <v>38</v>
      </c>
      <c r="Q261" s="2" t="s">
        <v>2205</v>
      </c>
      <c r="R261" s="2"/>
    </row>
    <row r="262" customFormat="false" ht="15" hidden="false" customHeight="false" outlineLevel="0" collapsed="false">
      <c r="A262" s="2" t="s">
        <v>1211</v>
      </c>
      <c r="B262" s="2" t="s">
        <v>1212</v>
      </c>
      <c r="C262" s="2" t="s">
        <v>2213</v>
      </c>
      <c r="D262" s="2" t="s">
        <v>2215</v>
      </c>
      <c r="E262" s="2" t="s">
        <v>1270</v>
      </c>
      <c r="F262" s="2" t="s">
        <v>2197</v>
      </c>
      <c r="G262" s="5" t="n">
        <v>46230</v>
      </c>
      <c r="H262" s="5" t="n">
        <v>46260</v>
      </c>
      <c r="I262" s="2" t="n">
        <v>30</v>
      </c>
      <c r="J262" s="2" t="s">
        <v>41</v>
      </c>
      <c r="K262" s="6" t="n">
        <v>97442.82</v>
      </c>
      <c r="L262" s="2" t="s">
        <v>162</v>
      </c>
      <c r="M262" s="2" t="s">
        <v>1190</v>
      </c>
      <c r="N262" s="2"/>
      <c r="O262" s="7" t="b">
        <f aca="false">FALSE()</f>
        <v>0</v>
      </c>
      <c r="P262" s="2" t="n">
        <v>35</v>
      </c>
      <c r="Q262" s="2" t="s">
        <v>2205</v>
      </c>
      <c r="R262" s="2"/>
    </row>
    <row r="263" customFormat="false" ht="15" hidden="false" customHeight="false" outlineLevel="0" collapsed="false">
      <c r="A263" s="2" t="s">
        <v>1211</v>
      </c>
      <c r="B263" s="2" t="s">
        <v>1212</v>
      </c>
      <c r="C263" s="2" t="s">
        <v>2213</v>
      </c>
      <c r="D263" s="2" t="s">
        <v>2215</v>
      </c>
      <c r="E263" s="2" t="s">
        <v>1274</v>
      </c>
      <c r="F263" s="2" t="s">
        <v>2197</v>
      </c>
      <c r="G263" s="5" t="n">
        <v>46234</v>
      </c>
      <c r="H263" s="5" t="n">
        <v>46264</v>
      </c>
      <c r="I263" s="2" t="n">
        <v>30</v>
      </c>
      <c r="J263" s="2" t="s">
        <v>41</v>
      </c>
      <c r="K263" s="6" t="n">
        <v>9440</v>
      </c>
      <c r="L263" s="2" t="s">
        <v>162</v>
      </c>
      <c r="M263" s="2" t="s">
        <v>307</v>
      </c>
      <c r="N263" s="2"/>
      <c r="O263" s="7" t="b">
        <f aca="false">FALSE()</f>
        <v>0</v>
      </c>
      <c r="P263" s="2" t="n">
        <v>31</v>
      </c>
      <c r="Q263" s="2" t="s">
        <v>2205</v>
      </c>
      <c r="R263" s="2"/>
    </row>
    <row r="264" customFormat="false" ht="15" hidden="false" customHeight="false" outlineLevel="0" collapsed="false">
      <c r="A264" s="2" t="s">
        <v>1211</v>
      </c>
      <c r="B264" s="2" t="s">
        <v>1212</v>
      </c>
      <c r="C264" s="2" t="s">
        <v>2213</v>
      </c>
      <c r="D264" s="2" t="s">
        <v>2215</v>
      </c>
      <c r="E264" s="2" t="s">
        <v>1272</v>
      </c>
      <c r="F264" s="2" t="s">
        <v>2197</v>
      </c>
      <c r="G264" s="5" t="n">
        <v>46258</v>
      </c>
      <c r="H264" s="5" t="n">
        <v>46288</v>
      </c>
      <c r="I264" s="2" t="n">
        <v>30</v>
      </c>
      <c r="J264" s="2" t="s">
        <v>41</v>
      </c>
      <c r="K264" s="6" t="n">
        <v>631995</v>
      </c>
      <c r="L264" s="2" t="s">
        <v>162</v>
      </c>
      <c r="M264" s="2"/>
      <c r="N264" s="2" t="s">
        <v>396</v>
      </c>
      <c r="O264" s="7" t="b">
        <f aca="false">FALSE()</f>
        <v>0</v>
      </c>
      <c r="P264" s="2" t="n">
        <v>7</v>
      </c>
      <c r="Q264" s="2" t="s">
        <v>2207</v>
      </c>
      <c r="R264" s="2"/>
    </row>
    <row r="265" customFormat="false" ht="15" hidden="false" customHeight="false" outlineLevel="0" collapsed="false">
      <c r="A265" s="2" t="s">
        <v>1211</v>
      </c>
      <c r="B265" s="2" t="s">
        <v>1212</v>
      </c>
      <c r="C265" s="2" t="s">
        <v>2213</v>
      </c>
      <c r="D265" s="2" t="s">
        <v>2215</v>
      </c>
      <c r="E265" s="2" t="s">
        <v>1278</v>
      </c>
      <c r="F265" s="2" t="s">
        <v>2197</v>
      </c>
      <c r="G265" s="5" t="n">
        <v>46260</v>
      </c>
      <c r="H265" s="5" t="n">
        <v>46290</v>
      </c>
      <c r="I265" s="2" t="n">
        <v>30</v>
      </c>
      <c r="J265" s="2" t="s">
        <v>41</v>
      </c>
      <c r="K265" s="6" t="n">
        <v>23600</v>
      </c>
      <c r="L265" s="2" t="s">
        <v>162</v>
      </c>
      <c r="M265" s="2" t="s">
        <v>1280</v>
      </c>
      <c r="N265" s="2"/>
      <c r="O265" s="7" t="b">
        <f aca="false">FALSE()</f>
        <v>0</v>
      </c>
      <c r="P265" s="2" t="n">
        <v>5</v>
      </c>
      <c r="Q265" s="2" t="s">
        <v>2207</v>
      </c>
      <c r="R265" s="2" t="s">
        <v>2208</v>
      </c>
    </row>
    <row r="266" customFormat="false" ht="15" hidden="false" customHeight="false" outlineLevel="0" collapsed="false">
      <c r="A266" s="2" t="s">
        <v>1211</v>
      </c>
      <c r="B266" s="2" t="s">
        <v>1212</v>
      </c>
      <c r="C266" s="2" t="s">
        <v>2213</v>
      </c>
      <c r="D266" s="2" t="s">
        <v>2215</v>
      </c>
      <c r="E266" s="2" t="s">
        <v>1281</v>
      </c>
      <c r="F266" s="2" t="s">
        <v>2197</v>
      </c>
      <c r="G266" s="5" t="n">
        <v>46264</v>
      </c>
      <c r="H266" s="5" t="n">
        <v>46294</v>
      </c>
      <c r="I266" s="2" t="n">
        <v>30</v>
      </c>
      <c r="J266" s="2" t="s">
        <v>41</v>
      </c>
      <c r="K266" s="6" t="n">
        <v>333940</v>
      </c>
      <c r="L266" s="2" t="s">
        <v>162</v>
      </c>
      <c r="M266" s="2" t="s">
        <v>1285</v>
      </c>
      <c r="N266" s="2"/>
      <c r="O266" s="7" t="b">
        <f aca="false">FALSE()</f>
        <v>0</v>
      </c>
      <c r="P266" s="2" t="n">
        <v>1</v>
      </c>
      <c r="Q266" s="2" t="s">
        <v>2207</v>
      </c>
      <c r="R266" s="2"/>
    </row>
    <row r="267" customFormat="false" ht="15" hidden="false" customHeight="false" outlineLevel="0" collapsed="false">
      <c r="A267" s="2" t="s">
        <v>1211</v>
      </c>
      <c r="B267" s="2" t="s">
        <v>1212</v>
      </c>
      <c r="C267" s="2" t="s">
        <v>2213</v>
      </c>
      <c r="D267" s="2" t="s">
        <v>2215</v>
      </c>
      <c r="E267" s="2" t="s">
        <v>1286</v>
      </c>
      <c r="F267" s="2" t="s">
        <v>2197</v>
      </c>
      <c r="G267" s="5" t="n">
        <v>46267</v>
      </c>
      <c r="H267" s="5" t="n">
        <v>46297</v>
      </c>
      <c r="I267" s="2" t="n">
        <v>30</v>
      </c>
      <c r="J267" s="2" t="s">
        <v>41</v>
      </c>
      <c r="K267" s="6" t="n">
        <v>91686</v>
      </c>
      <c r="L267" s="2" t="s">
        <v>162</v>
      </c>
      <c r="M267" s="2" t="s">
        <v>1289</v>
      </c>
      <c r="N267" s="2"/>
      <c r="O267" s="7" t="b">
        <f aca="false">FALSE()</f>
        <v>0</v>
      </c>
      <c r="P267" s="2" t="n">
        <v>-2</v>
      </c>
      <c r="Q267" s="2" t="s">
        <v>2209</v>
      </c>
      <c r="R267" s="2"/>
    </row>
    <row r="268" customFormat="false" ht="15" hidden="false" customHeight="false" outlineLevel="0" collapsed="false">
      <c r="A268" s="2" t="s">
        <v>1211</v>
      </c>
      <c r="B268" s="2" t="s">
        <v>1212</v>
      </c>
      <c r="C268" s="2" t="s">
        <v>2213</v>
      </c>
      <c r="D268" s="2" t="s">
        <v>2215</v>
      </c>
      <c r="E268" s="2" t="s">
        <v>1290</v>
      </c>
      <c r="F268" s="2" t="s">
        <v>2197</v>
      </c>
      <c r="G268" s="5" t="n">
        <v>46272</v>
      </c>
      <c r="H268" s="5" t="n">
        <v>46302</v>
      </c>
      <c r="I268" s="2" t="n">
        <v>30</v>
      </c>
      <c r="J268" s="2" t="s">
        <v>41</v>
      </c>
      <c r="K268" s="6" t="n">
        <v>162236.36</v>
      </c>
      <c r="L268" s="2" t="s">
        <v>162</v>
      </c>
      <c r="M268" s="2" t="s">
        <v>1293</v>
      </c>
      <c r="N268" s="2"/>
      <c r="O268" s="7" t="b">
        <f aca="false">FALSE()</f>
        <v>0</v>
      </c>
      <c r="P268" s="2" t="n">
        <v>-7</v>
      </c>
      <c r="Q268" s="2" t="s">
        <v>2209</v>
      </c>
      <c r="R268" s="2"/>
    </row>
    <row r="269" customFormat="false" ht="15" hidden="false" customHeight="false" outlineLevel="0" collapsed="false">
      <c r="A269" s="2" t="s">
        <v>1211</v>
      </c>
      <c r="B269" s="2" t="s">
        <v>1212</v>
      </c>
      <c r="C269" s="2" t="s">
        <v>2213</v>
      </c>
      <c r="D269" s="2" t="s">
        <v>2215</v>
      </c>
      <c r="E269" s="2" t="s">
        <v>1294</v>
      </c>
      <c r="F269" s="2" t="s">
        <v>2197</v>
      </c>
      <c r="G269" s="5" t="n">
        <v>46273</v>
      </c>
      <c r="H269" s="5" t="n">
        <v>46333</v>
      </c>
      <c r="I269" s="2" t="n">
        <v>60</v>
      </c>
      <c r="J269" s="2" t="s">
        <v>41</v>
      </c>
      <c r="K269" s="6" t="n">
        <v>529112</v>
      </c>
      <c r="L269" s="2" t="s">
        <v>162</v>
      </c>
      <c r="M269" s="2" t="s">
        <v>1296</v>
      </c>
      <c r="N269" s="2"/>
      <c r="O269" s="7" t="b">
        <f aca="false">FALSE()</f>
        <v>0</v>
      </c>
      <c r="P269" s="2" t="n">
        <v>-38</v>
      </c>
      <c r="Q269" s="2" t="s">
        <v>2209</v>
      </c>
      <c r="R269" s="2" t="s">
        <v>2202</v>
      </c>
    </row>
    <row r="270" customFormat="false" ht="15" hidden="false" customHeight="false" outlineLevel="0" collapsed="false">
      <c r="A270" s="2" t="s">
        <v>1211</v>
      </c>
      <c r="B270" s="2" t="s">
        <v>1212</v>
      </c>
      <c r="C270" s="2" t="s">
        <v>2213</v>
      </c>
      <c r="D270" s="2" t="s">
        <v>2215</v>
      </c>
      <c r="E270" s="2" t="s">
        <v>1297</v>
      </c>
      <c r="F270" s="2" t="s">
        <v>2197</v>
      </c>
      <c r="G270" s="5" t="n">
        <v>46291</v>
      </c>
      <c r="H270" s="5" t="n">
        <v>46306</v>
      </c>
      <c r="I270" s="2" t="n">
        <v>15</v>
      </c>
      <c r="J270" s="2" t="s">
        <v>41</v>
      </c>
      <c r="K270" s="6" t="n">
        <v>11776</v>
      </c>
      <c r="L270" s="2" t="s">
        <v>162</v>
      </c>
      <c r="M270" s="2" t="s">
        <v>1300</v>
      </c>
      <c r="N270" s="2"/>
      <c r="O270" s="7" t="b">
        <f aca="false">FALSE()</f>
        <v>0</v>
      </c>
      <c r="P270" s="2" t="n">
        <v>-11</v>
      </c>
      <c r="Q270" s="2" t="s">
        <v>2209</v>
      </c>
      <c r="R270" s="2"/>
    </row>
    <row r="271" customFormat="false" ht="15" hidden="false" customHeight="false" outlineLevel="0" collapsed="false">
      <c r="A271" s="2" t="s">
        <v>2270</v>
      </c>
      <c r="B271" s="2" t="s">
        <v>2271</v>
      </c>
      <c r="C271" s="2" t="s">
        <v>2214</v>
      </c>
      <c r="D271" s="2" t="s">
        <v>2211</v>
      </c>
      <c r="E271" s="2" t="s">
        <v>1304</v>
      </c>
      <c r="F271" s="2" t="s">
        <v>2197</v>
      </c>
      <c r="G271" s="5" t="n">
        <v>46033</v>
      </c>
      <c r="H271" s="5" t="n">
        <v>46048</v>
      </c>
      <c r="I271" s="2" t="n">
        <v>15</v>
      </c>
      <c r="J271" s="2" t="s">
        <v>41</v>
      </c>
      <c r="K271" s="6" t="n">
        <v>167439.18</v>
      </c>
      <c r="L271" s="2" t="s">
        <v>1596</v>
      </c>
      <c r="M271" s="2" t="s">
        <v>1308</v>
      </c>
      <c r="N271" s="2"/>
      <c r="O271" s="7" t="b">
        <f aca="false">FALSE()</f>
        <v>0</v>
      </c>
      <c r="P271" s="2" t="n">
        <v>247</v>
      </c>
      <c r="Q271" s="2" t="s">
        <v>2198</v>
      </c>
      <c r="R271" s="2"/>
    </row>
    <row r="272" customFormat="false" ht="15" hidden="false" customHeight="false" outlineLevel="0" collapsed="false">
      <c r="A272" s="2" t="s">
        <v>2270</v>
      </c>
      <c r="B272" s="2" t="s">
        <v>2271</v>
      </c>
      <c r="C272" s="2" t="s">
        <v>2214</v>
      </c>
      <c r="D272" s="2" t="s">
        <v>2211</v>
      </c>
      <c r="E272" s="2" t="s">
        <v>1311</v>
      </c>
      <c r="F272" s="2" t="s">
        <v>2197</v>
      </c>
      <c r="G272" s="5" t="n">
        <v>46129</v>
      </c>
      <c r="H272" s="5" t="n">
        <v>46129</v>
      </c>
      <c r="I272" s="2" t="n">
        <v>0</v>
      </c>
      <c r="J272" s="2" t="s">
        <v>41</v>
      </c>
      <c r="K272" s="6" t="n">
        <v>224200</v>
      </c>
      <c r="L272" s="2" t="s">
        <v>1596</v>
      </c>
      <c r="M272" s="2" t="s">
        <v>1316</v>
      </c>
      <c r="N272" s="2"/>
      <c r="O272" s="7" t="b">
        <f aca="false">FALSE()</f>
        <v>0</v>
      </c>
      <c r="P272" s="2" t="n">
        <v>166</v>
      </c>
      <c r="Q272" s="2" t="s">
        <v>2201</v>
      </c>
      <c r="R272" s="2"/>
    </row>
    <row r="273" customFormat="false" ht="15" hidden="false" customHeight="false" outlineLevel="0" collapsed="false">
      <c r="A273" s="2" t="s">
        <v>2270</v>
      </c>
      <c r="B273" s="2" t="s">
        <v>2271</v>
      </c>
      <c r="C273" s="2" t="s">
        <v>2214</v>
      </c>
      <c r="D273" s="2" t="s">
        <v>2211</v>
      </c>
      <c r="E273" s="2" t="s">
        <v>1317</v>
      </c>
      <c r="F273" s="2" t="s">
        <v>2197</v>
      </c>
      <c r="G273" s="5" t="n">
        <v>46145</v>
      </c>
      <c r="H273" s="5" t="n">
        <v>46160</v>
      </c>
      <c r="I273" s="2" t="n">
        <v>15</v>
      </c>
      <c r="J273" s="2" t="s">
        <v>41</v>
      </c>
      <c r="K273" s="6" t="n">
        <v>165141.86</v>
      </c>
      <c r="L273" s="2" t="s">
        <v>1596</v>
      </c>
      <c r="M273" s="2" t="s">
        <v>1320</v>
      </c>
      <c r="N273" s="2"/>
      <c r="O273" s="7" t="b">
        <f aca="false">FALSE()</f>
        <v>0</v>
      </c>
      <c r="P273" s="2" t="n">
        <v>135</v>
      </c>
      <c r="Q273" s="2" t="s">
        <v>2201</v>
      </c>
      <c r="R273" s="2"/>
    </row>
    <row r="274" customFormat="false" ht="15" hidden="false" customHeight="false" outlineLevel="0" collapsed="false">
      <c r="A274" s="2" t="s">
        <v>2270</v>
      </c>
      <c r="B274" s="2" t="s">
        <v>2271</v>
      </c>
      <c r="C274" s="2" t="s">
        <v>2214</v>
      </c>
      <c r="D274" s="2" t="s">
        <v>2211</v>
      </c>
      <c r="E274" s="2" t="s">
        <v>1323</v>
      </c>
      <c r="F274" s="2" t="s">
        <v>2197</v>
      </c>
      <c r="G274" s="5" t="n">
        <v>46151</v>
      </c>
      <c r="H274" s="5" t="n">
        <v>46166</v>
      </c>
      <c r="I274" s="2" t="n">
        <v>15</v>
      </c>
      <c r="J274" s="2" t="s">
        <v>41</v>
      </c>
      <c r="K274" s="6" t="n">
        <v>114797.33</v>
      </c>
      <c r="L274" s="2" t="s">
        <v>1596</v>
      </c>
      <c r="M274" s="2" t="s">
        <v>1326</v>
      </c>
      <c r="N274" s="2"/>
      <c r="O274" s="7" t="b">
        <f aca="false">FALSE()</f>
        <v>0</v>
      </c>
      <c r="P274" s="2" t="n">
        <v>129</v>
      </c>
      <c r="Q274" s="2" t="s">
        <v>2201</v>
      </c>
      <c r="R274" s="2"/>
    </row>
    <row r="275" customFormat="false" ht="15" hidden="false" customHeight="false" outlineLevel="0" collapsed="false">
      <c r="A275" s="2" t="s">
        <v>2270</v>
      </c>
      <c r="B275" s="2" t="s">
        <v>2271</v>
      </c>
      <c r="C275" s="2" t="s">
        <v>2214</v>
      </c>
      <c r="D275" s="2" t="s">
        <v>2211</v>
      </c>
      <c r="E275" s="2" t="s">
        <v>1321</v>
      </c>
      <c r="F275" s="2" t="s">
        <v>2197</v>
      </c>
      <c r="G275" s="5" t="n">
        <v>46177</v>
      </c>
      <c r="H275" s="5" t="n">
        <v>46192</v>
      </c>
      <c r="I275" s="2" t="n">
        <v>15</v>
      </c>
      <c r="J275" s="2" t="s">
        <v>41</v>
      </c>
      <c r="K275" s="6" t="n">
        <v>55578</v>
      </c>
      <c r="L275" s="2" t="s">
        <v>1596</v>
      </c>
      <c r="M275" s="2"/>
      <c r="N275" s="2"/>
      <c r="O275" s="7" t="b">
        <f aca="false">FALSE()</f>
        <v>0</v>
      </c>
      <c r="P275" s="2" t="n">
        <v>103</v>
      </c>
      <c r="Q275" s="2" t="s">
        <v>2201</v>
      </c>
      <c r="R275" s="2" t="s">
        <v>2202</v>
      </c>
    </row>
    <row r="276" customFormat="false" ht="15" hidden="false" customHeight="false" outlineLevel="0" collapsed="false">
      <c r="A276" s="2" t="s">
        <v>2270</v>
      </c>
      <c r="B276" s="2" t="s">
        <v>2271</v>
      </c>
      <c r="C276" s="2" t="s">
        <v>2214</v>
      </c>
      <c r="D276" s="2" t="s">
        <v>2211</v>
      </c>
      <c r="E276" s="2" t="s">
        <v>1327</v>
      </c>
      <c r="F276" s="2" t="s">
        <v>2197</v>
      </c>
      <c r="G276" s="5" t="n">
        <v>46210</v>
      </c>
      <c r="H276" s="5" t="n">
        <v>46225</v>
      </c>
      <c r="I276" s="2" t="n">
        <v>15</v>
      </c>
      <c r="J276" s="2" t="s">
        <v>41</v>
      </c>
      <c r="K276" s="6" t="n">
        <v>145140</v>
      </c>
      <c r="L276" s="2" t="s">
        <v>1596</v>
      </c>
      <c r="M276" s="2"/>
      <c r="N276" s="2"/>
      <c r="O276" s="7" t="b">
        <f aca="false">FALSE()</f>
        <v>0</v>
      </c>
      <c r="P276" s="2" t="n">
        <v>70</v>
      </c>
      <c r="Q276" s="2" t="s">
        <v>2203</v>
      </c>
      <c r="R276" s="2"/>
    </row>
    <row r="277" customFormat="false" ht="15" hidden="false" customHeight="false" outlineLevel="0" collapsed="false">
      <c r="A277" s="2" t="s">
        <v>2270</v>
      </c>
      <c r="B277" s="2" t="s">
        <v>2271</v>
      </c>
      <c r="C277" s="2" t="s">
        <v>2214</v>
      </c>
      <c r="D277" s="2" t="s">
        <v>2211</v>
      </c>
      <c r="E277" s="2" t="s">
        <v>1330</v>
      </c>
      <c r="F277" s="2" t="s">
        <v>2197</v>
      </c>
      <c r="G277" s="5" t="n">
        <v>46244</v>
      </c>
      <c r="H277" s="5" t="n">
        <v>46289</v>
      </c>
      <c r="I277" s="2" t="n">
        <v>45</v>
      </c>
      <c r="J277" s="2" t="s">
        <v>41</v>
      </c>
      <c r="K277" s="6" t="n">
        <v>37170</v>
      </c>
      <c r="L277" s="2" t="s">
        <v>1596</v>
      </c>
      <c r="M277" s="2" t="s">
        <v>1333</v>
      </c>
      <c r="N277" s="2"/>
      <c r="O277" s="7" t="b">
        <f aca="false">FALSE()</f>
        <v>0</v>
      </c>
      <c r="P277" s="2" t="n">
        <v>6</v>
      </c>
      <c r="Q277" s="2" t="s">
        <v>2207</v>
      </c>
      <c r="R277" s="2"/>
    </row>
    <row r="278" customFormat="false" ht="15" hidden="false" customHeight="false" outlineLevel="0" collapsed="false">
      <c r="A278" s="2" t="s">
        <v>2270</v>
      </c>
      <c r="B278" s="2" t="s">
        <v>2271</v>
      </c>
      <c r="C278" s="2" t="s">
        <v>2214</v>
      </c>
      <c r="D278" s="2" t="s">
        <v>2211</v>
      </c>
      <c r="E278" s="2" t="s">
        <v>1334</v>
      </c>
      <c r="F278" s="2" t="s">
        <v>2197</v>
      </c>
      <c r="G278" s="5" t="n">
        <v>46260</v>
      </c>
      <c r="H278" s="5" t="n">
        <v>46275</v>
      </c>
      <c r="I278" s="2" t="n">
        <v>15</v>
      </c>
      <c r="J278" s="2" t="s">
        <v>41</v>
      </c>
      <c r="K278" s="6" t="n">
        <v>563450</v>
      </c>
      <c r="L278" s="2" t="s">
        <v>1596</v>
      </c>
      <c r="M278" s="2" t="s">
        <v>1336</v>
      </c>
      <c r="N278" s="2"/>
      <c r="O278" s="7" t="b">
        <f aca="false">FALSE()</f>
        <v>0</v>
      </c>
      <c r="P278" s="2" t="n">
        <v>20</v>
      </c>
      <c r="Q278" s="2" t="s">
        <v>2207</v>
      </c>
      <c r="R278" s="2"/>
    </row>
    <row r="279" customFormat="false" ht="15" hidden="false" customHeight="false" outlineLevel="0" collapsed="false">
      <c r="A279" s="2" t="s">
        <v>2270</v>
      </c>
      <c r="B279" s="2" t="s">
        <v>2271</v>
      </c>
      <c r="C279" s="2" t="s">
        <v>2214</v>
      </c>
      <c r="D279" s="2" t="s">
        <v>2211</v>
      </c>
      <c r="E279" s="2" t="s">
        <v>1337</v>
      </c>
      <c r="F279" s="2" t="s">
        <v>2197</v>
      </c>
      <c r="G279" s="5" t="n">
        <v>46295</v>
      </c>
      <c r="H279" s="5" t="n">
        <v>46310</v>
      </c>
      <c r="I279" s="2" t="n">
        <v>15</v>
      </c>
      <c r="J279" s="2" t="s">
        <v>41</v>
      </c>
      <c r="K279" s="6" t="n">
        <v>105846</v>
      </c>
      <c r="L279" s="2" t="s">
        <v>1596</v>
      </c>
      <c r="M279" s="2" t="s">
        <v>1339</v>
      </c>
      <c r="N279" s="2"/>
      <c r="O279" s="7" t="b">
        <f aca="false">FALSE()</f>
        <v>0</v>
      </c>
      <c r="P279" s="2" t="n">
        <v>-15</v>
      </c>
      <c r="Q279" s="2" t="s">
        <v>2209</v>
      </c>
      <c r="R279" s="2"/>
    </row>
    <row r="280" customFormat="false" ht="15" hidden="false" customHeight="false" outlineLevel="0" collapsed="false">
      <c r="A280" s="2" t="s">
        <v>1341</v>
      </c>
      <c r="B280" s="2" t="s">
        <v>1342</v>
      </c>
      <c r="C280" s="2" t="s">
        <v>2220</v>
      </c>
      <c r="D280" s="2" t="s">
        <v>2227</v>
      </c>
      <c r="E280" s="2" t="s">
        <v>1343</v>
      </c>
      <c r="F280" s="2" t="s">
        <v>2197</v>
      </c>
      <c r="G280" s="5" t="n">
        <v>46162</v>
      </c>
      <c r="H280" s="5" t="n">
        <v>46192</v>
      </c>
      <c r="I280" s="2" t="n">
        <v>30</v>
      </c>
      <c r="J280" s="2" t="s">
        <v>41</v>
      </c>
      <c r="K280" s="6" t="n">
        <v>59118</v>
      </c>
      <c r="L280" s="2" t="s">
        <v>502</v>
      </c>
      <c r="M280" s="2" t="s">
        <v>1347</v>
      </c>
      <c r="N280" s="2"/>
      <c r="O280" s="7" t="b">
        <f aca="false">FALSE()</f>
        <v>0</v>
      </c>
      <c r="P280" s="2" t="n">
        <v>103</v>
      </c>
      <c r="Q280" s="2" t="s">
        <v>2201</v>
      </c>
      <c r="R280" s="2"/>
    </row>
    <row r="281" customFormat="false" ht="15" hidden="false" customHeight="false" outlineLevel="0" collapsed="false">
      <c r="A281" s="2" t="s">
        <v>1341</v>
      </c>
      <c r="B281" s="2" t="s">
        <v>1342</v>
      </c>
      <c r="C281" s="2" t="s">
        <v>2220</v>
      </c>
      <c r="D281" s="2" t="s">
        <v>2227</v>
      </c>
      <c r="E281" s="2" t="s">
        <v>1350</v>
      </c>
      <c r="F281" s="2" t="s">
        <v>2197</v>
      </c>
      <c r="G281" s="5" t="n">
        <v>46186</v>
      </c>
      <c r="H281" s="5" t="n">
        <v>46216</v>
      </c>
      <c r="I281" s="2" t="n">
        <v>30</v>
      </c>
      <c r="J281" s="2" t="s">
        <v>41</v>
      </c>
      <c r="K281" s="6" t="n">
        <v>54915</v>
      </c>
      <c r="L281" s="2" t="s">
        <v>162</v>
      </c>
      <c r="M281" s="2"/>
      <c r="N281" s="2" t="s">
        <v>462</v>
      </c>
      <c r="O281" s="7" t="b">
        <f aca="false">FALSE()</f>
        <v>0</v>
      </c>
      <c r="P281" s="2" t="n">
        <v>79</v>
      </c>
      <c r="Q281" s="2" t="s">
        <v>2203</v>
      </c>
      <c r="R281" s="2"/>
    </row>
    <row r="282" customFormat="false" ht="15" hidden="false" customHeight="false" outlineLevel="0" collapsed="false">
      <c r="A282" s="2" t="s">
        <v>1341</v>
      </c>
      <c r="B282" s="2" t="s">
        <v>1342</v>
      </c>
      <c r="C282" s="2" t="s">
        <v>2220</v>
      </c>
      <c r="D282" s="2" t="s">
        <v>2227</v>
      </c>
      <c r="E282" s="2" t="s">
        <v>1348</v>
      </c>
      <c r="F282" s="2" t="s">
        <v>2212</v>
      </c>
      <c r="G282" s="5" t="n">
        <v>46229</v>
      </c>
      <c r="H282" s="5" t="n">
        <v>46229</v>
      </c>
      <c r="I282" s="2" t="n">
        <v>0</v>
      </c>
      <c r="J282" s="2" t="s">
        <v>41</v>
      </c>
      <c r="K282" s="6" t="n">
        <v>-78800</v>
      </c>
      <c r="L282" s="2" t="s">
        <v>162</v>
      </c>
      <c r="M282" s="2"/>
      <c r="N282" s="2"/>
      <c r="O282" s="7" t="b">
        <f aca="false">FALSE()</f>
        <v>0</v>
      </c>
      <c r="P282" s="2" t="n">
        <v>66</v>
      </c>
      <c r="Q282" s="2" t="s">
        <v>2203</v>
      </c>
      <c r="R282" s="2" t="s">
        <v>2223</v>
      </c>
    </row>
    <row r="283" customFormat="false" ht="15" hidden="false" customHeight="false" outlineLevel="0" collapsed="false">
      <c r="A283" s="2" t="s">
        <v>1341</v>
      </c>
      <c r="B283" s="2" t="s">
        <v>1342</v>
      </c>
      <c r="C283" s="2" t="s">
        <v>2220</v>
      </c>
      <c r="D283" s="2" t="s">
        <v>2227</v>
      </c>
      <c r="E283" s="2" t="s">
        <v>2272</v>
      </c>
      <c r="F283" s="2" t="s">
        <v>2197</v>
      </c>
      <c r="G283" s="5" t="n">
        <v>46238</v>
      </c>
      <c r="H283" s="5" t="n">
        <v>46268</v>
      </c>
      <c r="I283" s="2" t="n">
        <v>30</v>
      </c>
      <c r="J283" s="2" t="s">
        <v>41</v>
      </c>
      <c r="K283" s="6" t="n">
        <v>35546.34</v>
      </c>
      <c r="L283" s="2" t="s">
        <v>162</v>
      </c>
      <c r="M283" s="2" t="s">
        <v>1358</v>
      </c>
      <c r="N283" s="2"/>
      <c r="O283" s="7" t="b">
        <f aca="false">FALSE()</f>
        <v>0</v>
      </c>
      <c r="P283" s="2" t="n">
        <v>27</v>
      </c>
      <c r="Q283" s="2" t="s">
        <v>2207</v>
      </c>
      <c r="R283" s="2"/>
    </row>
    <row r="284" customFormat="false" ht="15" hidden="false" customHeight="false" outlineLevel="0" collapsed="false">
      <c r="A284" s="2" t="s">
        <v>1341</v>
      </c>
      <c r="B284" s="2" t="s">
        <v>1342</v>
      </c>
      <c r="C284" s="2" t="s">
        <v>2220</v>
      </c>
      <c r="D284" s="2" t="s">
        <v>2227</v>
      </c>
      <c r="E284" s="2" t="s">
        <v>1362</v>
      </c>
      <c r="F284" s="2" t="s">
        <v>2197</v>
      </c>
      <c r="G284" s="5" t="n">
        <v>46251</v>
      </c>
      <c r="H284" s="5" t="n">
        <v>46281</v>
      </c>
      <c r="I284" s="2" t="n">
        <v>30</v>
      </c>
      <c r="J284" s="2" t="s">
        <v>41</v>
      </c>
      <c r="K284" s="6" t="n">
        <v>97896.87</v>
      </c>
      <c r="L284" s="2" t="s">
        <v>162</v>
      </c>
      <c r="M284" s="2" t="s">
        <v>1364</v>
      </c>
      <c r="N284" s="2"/>
      <c r="O284" s="7" t="b">
        <f aca="false">FALSE()</f>
        <v>0</v>
      </c>
      <c r="P284" s="2" t="n">
        <v>14</v>
      </c>
      <c r="Q284" s="2" t="s">
        <v>2207</v>
      </c>
      <c r="R284" s="2"/>
    </row>
    <row r="285" customFormat="false" ht="15" hidden="false" customHeight="false" outlineLevel="0" collapsed="false">
      <c r="A285" s="2" t="s">
        <v>1341</v>
      </c>
      <c r="B285" s="2" t="s">
        <v>1342</v>
      </c>
      <c r="C285" s="2" t="s">
        <v>2220</v>
      </c>
      <c r="D285" s="2" t="s">
        <v>2227</v>
      </c>
      <c r="E285" s="2" t="s">
        <v>1359</v>
      </c>
      <c r="F285" s="2" t="s">
        <v>2197</v>
      </c>
      <c r="G285" s="5" t="n">
        <v>46267</v>
      </c>
      <c r="H285" s="5" t="n">
        <v>46297</v>
      </c>
      <c r="I285" s="2" t="n">
        <v>30</v>
      </c>
      <c r="J285" s="2" t="s">
        <v>41</v>
      </c>
      <c r="K285" s="6" t="n">
        <v>674432</v>
      </c>
      <c r="L285" s="2" t="s">
        <v>162</v>
      </c>
      <c r="M285" s="2" t="s">
        <v>1361</v>
      </c>
      <c r="N285" s="2"/>
      <c r="O285" s="7" t="b">
        <f aca="false">FALSE()</f>
        <v>0</v>
      </c>
      <c r="P285" s="2" t="n">
        <v>-2</v>
      </c>
      <c r="Q285" s="2" t="s">
        <v>2209</v>
      </c>
      <c r="R285" s="2"/>
    </row>
    <row r="286" customFormat="false" ht="15" hidden="false" customHeight="false" outlineLevel="0" collapsed="false">
      <c r="A286" s="2" t="s">
        <v>1341</v>
      </c>
      <c r="B286" s="2" t="s">
        <v>1342</v>
      </c>
      <c r="C286" s="2" t="s">
        <v>2220</v>
      </c>
      <c r="D286" s="2" t="s">
        <v>2227</v>
      </c>
      <c r="E286" s="2" t="s">
        <v>1365</v>
      </c>
      <c r="F286" s="2" t="s">
        <v>2197</v>
      </c>
      <c r="G286" s="5" t="n">
        <v>46290</v>
      </c>
      <c r="H286" s="5" t="n">
        <v>46320</v>
      </c>
      <c r="I286" s="2" t="n">
        <v>30</v>
      </c>
      <c r="J286" s="2" t="s">
        <v>41</v>
      </c>
      <c r="K286" s="6" t="n">
        <v>53712.72</v>
      </c>
      <c r="L286" s="2" t="s">
        <v>162</v>
      </c>
      <c r="M286" s="2" t="s">
        <v>1367</v>
      </c>
      <c r="N286" s="2"/>
      <c r="O286" s="7" t="b">
        <f aca="false">FALSE()</f>
        <v>0</v>
      </c>
      <c r="P286" s="2" t="n">
        <v>-25</v>
      </c>
      <c r="Q286" s="2" t="s">
        <v>2209</v>
      </c>
      <c r="R286" s="2"/>
    </row>
    <row r="287" customFormat="false" ht="15" hidden="false" customHeight="false" outlineLevel="0" collapsed="false">
      <c r="A287" s="2" t="s">
        <v>1341</v>
      </c>
      <c r="B287" s="2" t="s">
        <v>1342</v>
      </c>
      <c r="C287" s="2" t="s">
        <v>2220</v>
      </c>
      <c r="D287" s="2" t="s">
        <v>2227</v>
      </c>
      <c r="E287" s="2" t="s">
        <v>1368</v>
      </c>
      <c r="F287" s="2" t="s">
        <v>2197</v>
      </c>
      <c r="G287" s="5" t="n">
        <v>46292</v>
      </c>
      <c r="H287" s="5" t="n">
        <v>46322</v>
      </c>
      <c r="I287" s="2" t="n">
        <v>30</v>
      </c>
      <c r="J287" s="2" t="s">
        <v>41</v>
      </c>
      <c r="K287" s="6" t="n">
        <v>19588</v>
      </c>
      <c r="L287" s="2" t="s">
        <v>2204</v>
      </c>
      <c r="M287" s="2"/>
      <c r="N287" s="2"/>
      <c r="O287" s="7" t="b">
        <f aca="false">FALSE()</f>
        <v>0</v>
      </c>
      <c r="P287" s="2" t="n">
        <v>-27</v>
      </c>
      <c r="Q287" s="2" t="s">
        <v>2209</v>
      </c>
      <c r="R287" s="2" t="s">
        <v>2202</v>
      </c>
    </row>
    <row r="288" customFormat="false" ht="15" hidden="false" customHeight="false" outlineLevel="0" collapsed="false">
      <c r="A288" s="2" t="s">
        <v>1371</v>
      </c>
      <c r="B288" s="2" t="s">
        <v>1372</v>
      </c>
      <c r="C288" s="2" t="s">
        <v>2273</v>
      </c>
      <c r="D288" s="2" t="s">
        <v>2250</v>
      </c>
      <c r="E288" s="2" t="s">
        <v>1373</v>
      </c>
      <c r="F288" s="2" t="s">
        <v>2197</v>
      </c>
      <c r="G288" s="5" t="n">
        <v>46149</v>
      </c>
      <c r="H288" s="5" t="n">
        <v>46194</v>
      </c>
      <c r="I288" s="2" t="n">
        <v>45</v>
      </c>
      <c r="J288" s="2" t="s">
        <v>41</v>
      </c>
      <c r="K288" s="6" t="n">
        <v>300800.11</v>
      </c>
      <c r="L288" s="2" t="s">
        <v>162</v>
      </c>
      <c r="M288" s="2" t="s">
        <v>1376</v>
      </c>
      <c r="N288" s="2"/>
      <c r="O288" s="7" t="b">
        <f aca="false">FALSE()</f>
        <v>0</v>
      </c>
      <c r="P288" s="2" t="n">
        <v>101</v>
      </c>
      <c r="Q288" s="2" t="s">
        <v>2201</v>
      </c>
      <c r="R288" s="2"/>
    </row>
    <row r="289" customFormat="false" ht="15" hidden="false" customHeight="false" outlineLevel="0" collapsed="false">
      <c r="A289" s="2" t="s">
        <v>1371</v>
      </c>
      <c r="B289" s="2" t="s">
        <v>1372</v>
      </c>
      <c r="C289" s="2" t="s">
        <v>2273</v>
      </c>
      <c r="D289" s="2" t="s">
        <v>2250</v>
      </c>
      <c r="E289" s="2" t="s">
        <v>1377</v>
      </c>
      <c r="F289" s="2" t="s">
        <v>2197</v>
      </c>
      <c r="G289" s="5" t="n">
        <v>46201</v>
      </c>
      <c r="H289" s="5" t="n">
        <v>46246</v>
      </c>
      <c r="I289" s="2" t="n">
        <v>45</v>
      </c>
      <c r="J289" s="2" t="s">
        <v>41</v>
      </c>
      <c r="K289" s="6" t="n">
        <v>91450</v>
      </c>
      <c r="L289" s="2" t="s">
        <v>162</v>
      </c>
      <c r="M289" s="2" t="s">
        <v>1381</v>
      </c>
      <c r="N289" s="2"/>
      <c r="O289" s="7" t="b">
        <f aca="false">FALSE()</f>
        <v>0</v>
      </c>
      <c r="P289" s="2" t="n">
        <v>49</v>
      </c>
      <c r="Q289" s="2" t="s">
        <v>2205</v>
      </c>
      <c r="R289" s="2" t="s">
        <v>2208</v>
      </c>
    </row>
    <row r="290" customFormat="false" ht="15" hidden="false" customHeight="false" outlineLevel="0" collapsed="false">
      <c r="A290" s="2" t="s">
        <v>1371</v>
      </c>
      <c r="B290" s="2" t="s">
        <v>1372</v>
      </c>
      <c r="C290" s="2" t="s">
        <v>2273</v>
      </c>
      <c r="D290" s="2" t="s">
        <v>2250</v>
      </c>
      <c r="E290" s="2" t="s">
        <v>1382</v>
      </c>
      <c r="F290" s="2" t="s">
        <v>2197</v>
      </c>
      <c r="G290" s="5" t="n">
        <v>46205</v>
      </c>
      <c r="H290" s="5" t="n">
        <v>46250</v>
      </c>
      <c r="I290" s="2" t="n">
        <v>45</v>
      </c>
      <c r="J290" s="2" t="s">
        <v>41</v>
      </c>
      <c r="K290" s="6" t="n">
        <v>63288.31</v>
      </c>
      <c r="L290" s="2" t="s">
        <v>162</v>
      </c>
      <c r="M290" s="2" t="s">
        <v>1385</v>
      </c>
      <c r="N290" s="2"/>
      <c r="O290" s="7" t="b">
        <f aca="false">FALSE()</f>
        <v>0</v>
      </c>
      <c r="P290" s="2" t="n">
        <v>45</v>
      </c>
      <c r="Q290" s="2" t="s">
        <v>2205</v>
      </c>
      <c r="R290" s="2"/>
    </row>
    <row r="291" customFormat="false" ht="15" hidden="false" customHeight="false" outlineLevel="0" collapsed="false">
      <c r="A291" s="2" t="s">
        <v>1371</v>
      </c>
      <c r="B291" s="2" t="s">
        <v>1372</v>
      </c>
      <c r="C291" s="2" t="s">
        <v>2273</v>
      </c>
      <c r="D291" s="2" t="s">
        <v>2250</v>
      </c>
      <c r="E291" s="2" t="s">
        <v>1386</v>
      </c>
      <c r="F291" s="2" t="s">
        <v>2197</v>
      </c>
      <c r="G291" s="5" t="n">
        <v>46226</v>
      </c>
      <c r="H291" s="5" t="n">
        <v>46271</v>
      </c>
      <c r="I291" s="2" t="n">
        <v>45</v>
      </c>
      <c r="J291" s="2" t="s">
        <v>41</v>
      </c>
      <c r="K291" s="6" t="n">
        <v>142190</v>
      </c>
      <c r="L291" s="2" t="s">
        <v>162</v>
      </c>
      <c r="M291" s="2"/>
      <c r="N291" s="2"/>
      <c r="O291" s="7" t="b">
        <f aca="false">FALSE()</f>
        <v>0</v>
      </c>
      <c r="P291" s="2" t="n">
        <v>24</v>
      </c>
      <c r="Q291" s="2" t="s">
        <v>2207</v>
      </c>
      <c r="R291" s="2"/>
    </row>
    <row r="292" customFormat="false" ht="15" hidden="false" customHeight="false" outlineLevel="0" collapsed="false">
      <c r="A292" s="2" t="s">
        <v>1371</v>
      </c>
      <c r="B292" s="2" t="s">
        <v>1372</v>
      </c>
      <c r="C292" s="2" t="s">
        <v>2273</v>
      </c>
      <c r="D292" s="2" t="s">
        <v>2250</v>
      </c>
      <c r="E292" s="2" t="s">
        <v>1388</v>
      </c>
      <c r="F292" s="2" t="s">
        <v>2197</v>
      </c>
      <c r="G292" s="5" t="n">
        <v>46239</v>
      </c>
      <c r="H292" s="5" t="n">
        <v>46284</v>
      </c>
      <c r="I292" s="2" t="n">
        <v>45</v>
      </c>
      <c r="J292" s="2" t="s">
        <v>41</v>
      </c>
      <c r="K292" s="6" t="n">
        <v>15488</v>
      </c>
      <c r="L292" s="2" t="s">
        <v>162</v>
      </c>
      <c r="M292" s="2" t="s">
        <v>1391</v>
      </c>
      <c r="N292" s="2"/>
      <c r="O292" s="7" t="b">
        <f aca="false">FALSE()</f>
        <v>0</v>
      </c>
      <c r="P292" s="2" t="n">
        <v>11</v>
      </c>
      <c r="Q292" s="2" t="s">
        <v>2207</v>
      </c>
      <c r="R292" s="2"/>
    </row>
    <row r="293" customFormat="false" ht="15" hidden="false" customHeight="false" outlineLevel="0" collapsed="false">
      <c r="A293" s="2" t="s">
        <v>1371</v>
      </c>
      <c r="B293" s="2" t="s">
        <v>1372</v>
      </c>
      <c r="C293" s="2" t="s">
        <v>2273</v>
      </c>
      <c r="D293" s="2" t="s">
        <v>2250</v>
      </c>
      <c r="E293" s="2" t="s">
        <v>2274</v>
      </c>
      <c r="F293" s="2" t="s">
        <v>2197</v>
      </c>
      <c r="G293" s="5" t="n">
        <v>46280</v>
      </c>
      <c r="H293" s="5" t="n">
        <v>46325</v>
      </c>
      <c r="I293" s="2" t="n">
        <v>45</v>
      </c>
      <c r="J293" s="2" t="s">
        <v>41</v>
      </c>
      <c r="K293" s="6" t="n">
        <v>122248</v>
      </c>
      <c r="L293" s="2" t="s">
        <v>162</v>
      </c>
      <c r="M293" s="2" t="s">
        <v>1394</v>
      </c>
      <c r="N293" s="2"/>
      <c r="O293" s="7" t="b">
        <f aca="false">FALSE()</f>
        <v>0</v>
      </c>
      <c r="P293" s="2" t="n">
        <v>-30</v>
      </c>
      <c r="Q293" s="2" t="s">
        <v>2209</v>
      </c>
      <c r="R293" s="2"/>
    </row>
    <row r="294" customFormat="false" ht="15" hidden="false" customHeight="false" outlineLevel="0" collapsed="false">
      <c r="A294" s="2" t="s">
        <v>1396</v>
      </c>
      <c r="B294" s="2" t="s">
        <v>1397</v>
      </c>
      <c r="C294" s="2" t="s">
        <v>2229</v>
      </c>
      <c r="D294" s="2" t="s">
        <v>2275</v>
      </c>
      <c r="E294" s="2" t="s">
        <v>1398</v>
      </c>
      <c r="F294" s="2" t="s">
        <v>2197</v>
      </c>
      <c r="G294" s="5" t="n">
        <v>45842</v>
      </c>
      <c r="H294" s="5" t="n">
        <v>45887</v>
      </c>
      <c r="I294" s="2" t="n">
        <v>45</v>
      </c>
      <c r="J294" s="2" t="s">
        <v>41</v>
      </c>
      <c r="K294" s="6" t="n">
        <v>49324</v>
      </c>
      <c r="L294" s="2" t="s">
        <v>43</v>
      </c>
      <c r="M294" s="2" t="s">
        <v>1402</v>
      </c>
      <c r="N294" s="2"/>
      <c r="O294" s="7" t="b">
        <f aca="false">FALSE()</f>
        <v>0</v>
      </c>
      <c r="P294" s="2" t="n">
        <v>408</v>
      </c>
      <c r="Q294" s="2" t="s">
        <v>2198</v>
      </c>
      <c r="R294" s="2"/>
    </row>
    <row r="295" customFormat="false" ht="15" hidden="false" customHeight="false" outlineLevel="0" collapsed="false">
      <c r="A295" s="2" t="s">
        <v>1396</v>
      </c>
      <c r="B295" s="2" t="s">
        <v>1397</v>
      </c>
      <c r="C295" s="2" t="s">
        <v>2229</v>
      </c>
      <c r="D295" s="2" t="s">
        <v>2275</v>
      </c>
      <c r="E295" s="2" t="s">
        <v>1403</v>
      </c>
      <c r="F295" s="2" t="s">
        <v>2197</v>
      </c>
      <c r="G295" s="5" t="n">
        <v>46128</v>
      </c>
      <c r="H295" s="5" t="n">
        <v>46173</v>
      </c>
      <c r="I295" s="2" t="n">
        <v>45</v>
      </c>
      <c r="J295" s="2" t="s">
        <v>41</v>
      </c>
      <c r="K295" s="6" t="n">
        <v>59354</v>
      </c>
      <c r="L295" s="2" t="s">
        <v>43</v>
      </c>
      <c r="M295" s="2" t="s">
        <v>1407</v>
      </c>
      <c r="N295" s="2" t="s">
        <v>1408</v>
      </c>
      <c r="O295" s="7" t="b">
        <f aca="false">FALSE()</f>
        <v>0</v>
      </c>
      <c r="P295" s="2" t="n">
        <v>122</v>
      </c>
      <c r="Q295" s="2" t="s">
        <v>2201</v>
      </c>
      <c r="R295" s="2"/>
    </row>
    <row r="296" customFormat="false" ht="15" hidden="false" customHeight="false" outlineLevel="0" collapsed="false">
      <c r="A296" s="2" t="s">
        <v>1396</v>
      </c>
      <c r="B296" s="2" t="s">
        <v>1397</v>
      </c>
      <c r="C296" s="2" t="s">
        <v>2229</v>
      </c>
      <c r="D296" s="2" t="s">
        <v>2275</v>
      </c>
      <c r="E296" s="2" t="s">
        <v>1411</v>
      </c>
      <c r="F296" s="2" t="s">
        <v>2197</v>
      </c>
      <c r="G296" s="5" t="n">
        <v>46164</v>
      </c>
      <c r="H296" s="5" t="n">
        <v>46209</v>
      </c>
      <c r="I296" s="2" t="n">
        <v>45</v>
      </c>
      <c r="J296" s="2" t="s">
        <v>41</v>
      </c>
      <c r="K296" s="6" t="n">
        <v>26719.18</v>
      </c>
      <c r="L296" s="2" t="s">
        <v>43</v>
      </c>
      <c r="M296" s="2" t="s">
        <v>513</v>
      </c>
      <c r="N296" s="2" t="s">
        <v>164</v>
      </c>
      <c r="O296" s="7" t="b">
        <f aca="false">FALSE()</f>
        <v>0</v>
      </c>
      <c r="P296" s="2" t="n">
        <v>86</v>
      </c>
      <c r="Q296" s="2" t="s">
        <v>2203</v>
      </c>
      <c r="R296" s="2"/>
    </row>
    <row r="297" customFormat="false" ht="15" hidden="false" customHeight="false" outlineLevel="0" collapsed="false">
      <c r="A297" s="2" t="s">
        <v>1396</v>
      </c>
      <c r="B297" s="2" t="s">
        <v>1397</v>
      </c>
      <c r="C297" s="2" t="s">
        <v>2229</v>
      </c>
      <c r="D297" s="2" t="s">
        <v>2275</v>
      </c>
      <c r="E297" s="2" t="s">
        <v>1409</v>
      </c>
      <c r="F297" s="2" t="s">
        <v>2212</v>
      </c>
      <c r="G297" s="5" t="n">
        <v>46192</v>
      </c>
      <c r="H297" s="5" t="n">
        <v>46192</v>
      </c>
      <c r="I297" s="2" t="n">
        <v>0</v>
      </c>
      <c r="J297" s="2" t="s">
        <v>41</v>
      </c>
      <c r="K297" s="6" t="n">
        <v>-4000</v>
      </c>
      <c r="L297" s="2" t="s">
        <v>43</v>
      </c>
      <c r="M297" s="2"/>
      <c r="N297" s="2"/>
      <c r="O297" s="7" t="b">
        <f aca="false">FALSE()</f>
        <v>0</v>
      </c>
      <c r="P297" s="2" t="n">
        <v>103</v>
      </c>
      <c r="Q297" s="2" t="s">
        <v>2201</v>
      </c>
      <c r="R297" s="2"/>
    </row>
    <row r="298" customFormat="false" ht="15" hidden="false" customHeight="false" outlineLevel="0" collapsed="false">
      <c r="A298" s="2" t="s">
        <v>1396</v>
      </c>
      <c r="B298" s="2" t="s">
        <v>1397</v>
      </c>
      <c r="C298" s="2" t="s">
        <v>2229</v>
      </c>
      <c r="D298" s="2" t="s">
        <v>2275</v>
      </c>
      <c r="E298" s="2" t="s">
        <v>2276</v>
      </c>
      <c r="F298" s="2" t="s">
        <v>2197</v>
      </c>
      <c r="G298" s="5" t="n">
        <v>46195</v>
      </c>
      <c r="H298" s="5" t="n">
        <v>46240</v>
      </c>
      <c r="I298" s="2" t="n">
        <v>45</v>
      </c>
      <c r="J298" s="2" t="s">
        <v>41</v>
      </c>
      <c r="K298" s="6" t="n">
        <v>61499.25</v>
      </c>
      <c r="L298" s="2" t="s">
        <v>43</v>
      </c>
      <c r="M298" s="2" t="s">
        <v>1416</v>
      </c>
      <c r="N298" s="2"/>
      <c r="O298" s="7" t="b">
        <f aca="false">FALSE()</f>
        <v>0</v>
      </c>
      <c r="P298" s="2" t="n">
        <v>55</v>
      </c>
      <c r="Q298" s="2" t="s">
        <v>2205</v>
      </c>
      <c r="R298" s="2"/>
    </row>
    <row r="299" customFormat="false" ht="15" hidden="false" customHeight="false" outlineLevel="0" collapsed="false">
      <c r="A299" s="2" t="s">
        <v>1396</v>
      </c>
      <c r="B299" s="2" t="s">
        <v>1397</v>
      </c>
      <c r="C299" s="2" t="s">
        <v>2229</v>
      </c>
      <c r="D299" s="2" t="s">
        <v>2275</v>
      </c>
      <c r="E299" s="2" t="s">
        <v>1417</v>
      </c>
      <c r="F299" s="2" t="s">
        <v>2197</v>
      </c>
      <c r="G299" s="5" t="n">
        <v>46211</v>
      </c>
      <c r="H299" s="5" t="n">
        <v>46256</v>
      </c>
      <c r="I299" s="2" t="n">
        <v>45</v>
      </c>
      <c r="J299" s="2" t="s">
        <v>41</v>
      </c>
      <c r="K299" s="6" t="n">
        <v>84960</v>
      </c>
      <c r="L299" s="2" t="s">
        <v>43</v>
      </c>
      <c r="M299" s="2" t="s">
        <v>1419</v>
      </c>
      <c r="N299" s="2"/>
      <c r="O299" s="7" t="b">
        <f aca="false">FALSE()</f>
        <v>0</v>
      </c>
      <c r="P299" s="2" t="n">
        <v>39</v>
      </c>
      <c r="Q299" s="2" t="s">
        <v>2205</v>
      </c>
      <c r="R299" s="2"/>
    </row>
    <row r="300" customFormat="false" ht="15" hidden="false" customHeight="false" outlineLevel="0" collapsed="false">
      <c r="A300" s="2" t="s">
        <v>1396</v>
      </c>
      <c r="B300" s="2" t="s">
        <v>1397</v>
      </c>
      <c r="C300" s="2" t="s">
        <v>2229</v>
      </c>
      <c r="D300" s="2" t="s">
        <v>2275</v>
      </c>
      <c r="E300" s="2" t="s">
        <v>1420</v>
      </c>
      <c r="F300" s="2" t="s">
        <v>2197</v>
      </c>
      <c r="G300" s="5" t="n">
        <v>46229</v>
      </c>
      <c r="H300" s="5" t="n">
        <v>46274</v>
      </c>
      <c r="I300" s="2" t="n">
        <v>45</v>
      </c>
      <c r="J300" s="2" t="s">
        <v>41</v>
      </c>
      <c r="K300" s="6" t="n">
        <v>24863.48</v>
      </c>
      <c r="L300" s="2" t="s">
        <v>2204</v>
      </c>
      <c r="M300" s="2" t="s">
        <v>1423</v>
      </c>
      <c r="N300" s="2"/>
      <c r="O300" s="7" t="b">
        <f aca="false">FALSE()</f>
        <v>0</v>
      </c>
      <c r="P300" s="2" t="n">
        <v>21</v>
      </c>
      <c r="Q300" s="2" t="s">
        <v>2207</v>
      </c>
      <c r="R300" s="2"/>
    </row>
    <row r="301" customFormat="false" ht="15" hidden="false" customHeight="false" outlineLevel="0" collapsed="false">
      <c r="A301" s="2" t="s">
        <v>1396</v>
      </c>
      <c r="B301" s="2" t="s">
        <v>1397</v>
      </c>
      <c r="C301" s="2" t="s">
        <v>2229</v>
      </c>
      <c r="D301" s="2" t="s">
        <v>2275</v>
      </c>
      <c r="E301" s="2" t="s">
        <v>1424</v>
      </c>
      <c r="F301" s="2" t="s">
        <v>2222</v>
      </c>
      <c r="G301" s="5" t="n">
        <v>46233</v>
      </c>
      <c r="H301" s="5" t="n">
        <v>46233</v>
      </c>
      <c r="I301" s="2" t="n">
        <v>0</v>
      </c>
      <c r="J301" s="2" t="s">
        <v>41</v>
      </c>
      <c r="K301" s="6" t="n">
        <v>-101300</v>
      </c>
      <c r="L301" s="2" t="s">
        <v>43</v>
      </c>
      <c r="M301" s="2" t="s">
        <v>1426</v>
      </c>
      <c r="N301" s="2"/>
      <c r="O301" s="7" t="b">
        <f aca="false">FALSE()</f>
        <v>0</v>
      </c>
      <c r="P301" s="2" t="n">
        <v>62</v>
      </c>
      <c r="Q301" s="2" t="s">
        <v>2203</v>
      </c>
      <c r="R301" s="2"/>
    </row>
    <row r="302" customFormat="false" ht="15" hidden="false" customHeight="false" outlineLevel="0" collapsed="false">
      <c r="A302" s="2" t="s">
        <v>1396</v>
      </c>
      <c r="B302" s="2" t="s">
        <v>1397</v>
      </c>
      <c r="C302" s="2" t="s">
        <v>2229</v>
      </c>
      <c r="D302" s="2" t="s">
        <v>2275</v>
      </c>
      <c r="E302" s="2" t="s">
        <v>2277</v>
      </c>
      <c r="F302" s="2" t="s">
        <v>2197</v>
      </c>
      <c r="G302" s="5" t="n">
        <v>46270</v>
      </c>
      <c r="H302" s="5" t="n">
        <v>46315</v>
      </c>
      <c r="I302" s="2" t="n">
        <v>45</v>
      </c>
      <c r="J302" s="2" t="s">
        <v>41</v>
      </c>
      <c r="K302" s="6" t="n">
        <v>739954.15</v>
      </c>
      <c r="L302" s="2" t="s">
        <v>43</v>
      </c>
      <c r="M302" s="2" t="s">
        <v>1429</v>
      </c>
      <c r="N302" s="2"/>
      <c r="O302" s="7" t="b">
        <f aca="false">FALSE()</f>
        <v>0</v>
      </c>
      <c r="P302" s="2" t="n">
        <v>-20</v>
      </c>
      <c r="Q302" s="2" t="s">
        <v>2209</v>
      </c>
      <c r="R302" s="2" t="s">
        <v>2202</v>
      </c>
    </row>
    <row r="303" customFormat="false" ht="15" hidden="false" customHeight="false" outlineLevel="0" collapsed="false">
      <c r="A303" s="2" t="s">
        <v>1396</v>
      </c>
      <c r="B303" s="2" t="s">
        <v>1397</v>
      </c>
      <c r="C303" s="2" t="s">
        <v>2229</v>
      </c>
      <c r="D303" s="2" t="s">
        <v>2275</v>
      </c>
      <c r="E303" s="2" t="s">
        <v>2278</v>
      </c>
      <c r="F303" s="2" t="s">
        <v>2197</v>
      </c>
      <c r="G303" s="5" t="n">
        <v>46271</v>
      </c>
      <c r="H303" s="5" t="n">
        <v>46316</v>
      </c>
      <c r="I303" s="2" t="n">
        <v>45</v>
      </c>
      <c r="J303" s="2" t="s">
        <v>41</v>
      </c>
      <c r="K303" s="6" t="n">
        <v>34220</v>
      </c>
      <c r="L303" s="2" t="s">
        <v>43</v>
      </c>
      <c r="M303" s="2" t="s">
        <v>1431</v>
      </c>
      <c r="N303" s="2"/>
      <c r="O303" s="7" t="b">
        <f aca="false">FALSE()</f>
        <v>0</v>
      </c>
      <c r="P303" s="2" t="n">
        <v>-21</v>
      </c>
      <c r="Q303" s="2" t="s">
        <v>2209</v>
      </c>
      <c r="R303" s="2" t="s">
        <v>2279</v>
      </c>
    </row>
    <row r="304" customFormat="false" ht="15" hidden="false" customHeight="false" outlineLevel="0" collapsed="false">
      <c r="A304" s="2" t="s">
        <v>2280</v>
      </c>
      <c r="B304" s="2" t="s">
        <v>2281</v>
      </c>
      <c r="C304" s="2" t="s">
        <v>2213</v>
      </c>
      <c r="D304" s="2" t="s">
        <v>2196</v>
      </c>
      <c r="E304" s="2" t="s">
        <v>1435</v>
      </c>
      <c r="F304" s="2" t="s">
        <v>2212</v>
      </c>
      <c r="G304" s="5" t="n">
        <v>46071</v>
      </c>
      <c r="H304" s="5" t="n">
        <v>46071</v>
      </c>
      <c r="I304" s="2" t="n">
        <v>0</v>
      </c>
      <c r="J304" s="2" t="s">
        <v>41</v>
      </c>
      <c r="K304" s="6" t="n">
        <v>-5300</v>
      </c>
      <c r="L304" s="2" t="s">
        <v>137</v>
      </c>
      <c r="M304" s="2"/>
      <c r="N304" s="2"/>
      <c r="O304" s="7" t="b">
        <f aca="false">FALSE()</f>
        <v>0</v>
      </c>
      <c r="P304" s="2" t="n">
        <v>224</v>
      </c>
      <c r="Q304" s="2" t="s">
        <v>2198</v>
      </c>
      <c r="R304" s="2"/>
    </row>
    <row r="305" customFormat="false" ht="15" hidden="false" customHeight="false" outlineLevel="0" collapsed="false">
      <c r="A305" s="2" t="s">
        <v>2280</v>
      </c>
      <c r="B305" s="2" t="s">
        <v>2281</v>
      </c>
      <c r="C305" s="2" t="s">
        <v>2213</v>
      </c>
      <c r="D305" s="2" t="s">
        <v>2196</v>
      </c>
      <c r="E305" s="2" t="s">
        <v>1437</v>
      </c>
      <c r="F305" s="2" t="s">
        <v>2197</v>
      </c>
      <c r="G305" s="5" t="n">
        <v>46110</v>
      </c>
      <c r="H305" s="5" t="n">
        <v>46170</v>
      </c>
      <c r="I305" s="2" t="n">
        <v>60</v>
      </c>
      <c r="J305" s="2" t="s">
        <v>41</v>
      </c>
      <c r="K305" s="6" t="n">
        <v>63602</v>
      </c>
      <c r="L305" s="2" t="s">
        <v>137</v>
      </c>
      <c r="M305" s="2" t="s">
        <v>1441</v>
      </c>
      <c r="N305" s="2"/>
      <c r="O305" s="7" t="b">
        <f aca="false">FALSE()</f>
        <v>0</v>
      </c>
      <c r="P305" s="2" t="n">
        <v>125</v>
      </c>
      <c r="Q305" s="2" t="s">
        <v>2201</v>
      </c>
      <c r="R305" s="2"/>
    </row>
    <row r="306" customFormat="false" ht="15" hidden="false" customHeight="false" outlineLevel="0" collapsed="false">
      <c r="A306" s="2" t="s">
        <v>2280</v>
      </c>
      <c r="B306" s="2" t="s">
        <v>2281</v>
      </c>
      <c r="C306" s="2" t="s">
        <v>2213</v>
      </c>
      <c r="D306" s="2" t="s">
        <v>2196</v>
      </c>
      <c r="E306" s="2" t="s">
        <v>1442</v>
      </c>
      <c r="F306" s="2" t="s">
        <v>2197</v>
      </c>
      <c r="G306" s="5" t="n">
        <v>46147</v>
      </c>
      <c r="H306" s="5" t="n">
        <v>46207</v>
      </c>
      <c r="I306" s="2" t="n">
        <v>60</v>
      </c>
      <c r="J306" s="2" t="s">
        <v>41</v>
      </c>
      <c r="K306" s="6" t="n">
        <v>28435.15</v>
      </c>
      <c r="L306" s="2" t="s">
        <v>137</v>
      </c>
      <c r="M306" s="2"/>
      <c r="N306" s="2"/>
      <c r="O306" s="7" t="b">
        <f aca="false">FALSE()</f>
        <v>0</v>
      </c>
      <c r="P306" s="2" t="n">
        <v>88</v>
      </c>
      <c r="Q306" s="2" t="s">
        <v>2203</v>
      </c>
      <c r="R306" s="2"/>
    </row>
    <row r="307" customFormat="false" ht="15" hidden="false" customHeight="false" outlineLevel="0" collapsed="false">
      <c r="A307" s="2" t="s">
        <v>2280</v>
      </c>
      <c r="B307" s="2" t="s">
        <v>2281</v>
      </c>
      <c r="C307" s="2" t="s">
        <v>2213</v>
      </c>
      <c r="D307" s="2" t="s">
        <v>2196</v>
      </c>
      <c r="E307" s="2" t="s">
        <v>1445</v>
      </c>
      <c r="F307" s="2" t="s">
        <v>2197</v>
      </c>
      <c r="G307" s="5" t="n">
        <v>46181</v>
      </c>
      <c r="H307" s="5" t="n">
        <v>46241</v>
      </c>
      <c r="I307" s="2" t="n">
        <v>60</v>
      </c>
      <c r="J307" s="2" t="s">
        <v>41</v>
      </c>
      <c r="K307" s="6" t="n">
        <v>448400</v>
      </c>
      <c r="L307" s="2" t="s">
        <v>137</v>
      </c>
      <c r="M307" s="2"/>
      <c r="N307" s="2"/>
      <c r="O307" s="7" t="b">
        <f aca="false">FALSE()</f>
        <v>0</v>
      </c>
      <c r="P307" s="2" t="n">
        <v>54</v>
      </c>
      <c r="Q307" s="2" t="s">
        <v>2205</v>
      </c>
      <c r="R307" s="2"/>
    </row>
    <row r="308" customFormat="false" ht="15" hidden="false" customHeight="false" outlineLevel="0" collapsed="false">
      <c r="A308" s="2" t="s">
        <v>2280</v>
      </c>
      <c r="B308" s="2" t="s">
        <v>2281</v>
      </c>
      <c r="C308" s="2" t="s">
        <v>2213</v>
      </c>
      <c r="D308" s="2" t="s">
        <v>2196</v>
      </c>
      <c r="E308" s="2" t="s">
        <v>1447</v>
      </c>
      <c r="F308" s="2" t="s">
        <v>2197</v>
      </c>
      <c r="G308" s="5" t="n">
        <v>46203</v>
      </c>
      <c r="H308" s="5" t="n">
        <v>46263</v>
      </c>
      <c r="I308" s="2" t="n">
        <v>60</v>
      </c>
      <c r="J308" s="2" t="s">
        <v>41</v>
      </c>
      <c r="K308" s="6" t="n">
        <v>4694.29</v>
      </c>
      <c r="L308" s="2" t="s">
        <v>137</v>
      </c>
      <c r="M308" s="2" t="s">
        <v>1451</v>
      </c>
      <c r="N308" s="2"/>
      <c r="O308" s="7" t="b">
        <f aca="false">FALSE()</f>
        <v>0</v>
      </c>
      <c r="P308" s="2" t="n">
        <v>32</v>
      </c>
      <c r="Q308" s="2" t="s">
        <v>2205</v>
      </c>
      <c r="R308" s="2" t="s">
        <v>2233</v>
      </c>
    </row>
    <row r="309" customFormat="false" ht="15" hidden="false" customHeight="false" outlineLevel="0" collapsed="false">
      <c r="A309" s="2" t="s">
        <v>2280</v>
      </c>
      <c r="B309" s="2" t="s">
        <v>2281</v>
      </c>
      <c r="C309" s="2" t="s">
        <v>2213</v>
      </c>
      <c r="D309" s="2" t="s">
        <v>2196</v>
      </c>
      <c r="E309" s="2" t="s">
        <v>1453</v>
      </c>
      <c r="F309" s="2" t="s">
        <v>2197</v>
      </c>
      <c r="G309" s="5" t="n">
        <v>46221</v>
      </c>
      <c r="H309" s="5" t="n">
        <v>46281</v>
      </c>
      <c r="I309" s="2" t="n">
        <v>60</v>
      </c>
      <c r="J309" s="2" t="s">
        <v>41</v>
      </c>
      <c r="K309" s="6" t="n">
        <v>9440</v>
      </c>
      <c r="L309" s="2" t="s">
        <v>137</v>
      </c>
      <c r="M309" s="2"/>
      <c r="N309" s="2"/>
      <c r="O309" s="7" t="b">
        <f aca="false">FALSE()</f>
        <v>0</v>
      </c>
      <c r="P309" s="2" t="n">
        <v>14</v>
      </c>
      <c r="Q309" s="2" t="s">
        <v>2207</v>
      </c>
      <c r="R309" s="2"/>
    </row>
    <row r="310" customFormat="false" ht="15" hidden="false" customHeight="false" outlineLevel="0" collapsed="false">
      <c r="A310" s="2" t="s">
        <v>2280</v>
      </c>
      <c r="B310" s="2" t="s">
        <v>2281</v>
      </c>
      <c r="C310" s="2" t="s">
        <v>2213</v>
      </c>
      <c r="D310" s="2" t="s">
        <v>2196</v>
      </c>
      <c r="E310" s="2" t="s">
        <v>1456</v>
      </c>
      <c r="F310" s="2" t="s">
        <v>2197</v>
      </c>
      <c r="G310" s="5" t="n">
        <v>46227</v>
      </c>
      <c r="H310" s="5" t="n">
        <v>46287</v>
      </c>
      <c r="I310" s="2" t="n">
        <v>60</v>
      </c>
      <c r="J310" s="2" t="s">
        <v>41</v>
      </c>
      <c r="K310" s="6" t="n">
        <v>140420</v>
      </c>
      <c r="L310" s="2" t="s">
        <v>137</v>
      </c>
      <c r="M310" s="2" t="s">
        <v>1459</v>
      </c>
      <c r="N310" s="2"/>
      <c r="O310" s="7" t="b">
        <f aca="false">FALSE()</f>
        <v>0</v>
      </c>
      <c r="P310" s="2" t="n">
        <v>8</v>
      </c>
      <c r="Q310" s="2" t="s">
        <v>2207</v>
      </c>
      <c r="R310" s="2" t="s">
        <v>2200</v>
      </c>
    </row>
    <row r="311" customFormat="false" ht="15" hidden="false" customHeight="false" outlineLevel="0" collapsed="false">
      <c r="A311" s="2" t="s">
        <v>2280</v>
      </c>
      <c r="B311" s="2" t="s">
        <v>2281</v>
      </c>
      <c r="C311" s="2" t="s">
        <v>2213</v>
      </c>
      <c r="D311" s="2" t="s">
        <v>2196</v>
      </c>
      <c r="E311" s="2" t="s">
        <v>1460</v>
      </c>
      <c r="F311" s="2" t="s">
        <v>2197</v>
      </c>
      <c r="G311" s="5" t="n">
        <v>46232</v>
      </c>
      <c r="H311" s="5" t="n">
        <v>46292</v>
      </c>
      <c r="I311" s="2" t="n">
        <v>60</v>
      </c>
      <c r="J311" s="2" t="s">
        <v>41</v>
      </c>
      <c r="K311" s="6" t="n">
        <v>21248</v>
      </c>
      <c r="L311" s="2" t="s">
        <v>137</v>
      </c>
      <c r="M311" s="2" t="s">
        <v>1462</v>
      </c>
      <c r="N311" s="2"/>
      <c r="O311" s="7" t="b">
        <f aca="false">FALSE()</f>
        <v>0</v>
      </c>
      <c r="P311" s="2" t="n">
        <v>3</v>
      </c>
      <c r="Q311" s="2" t="s">
        <v>2207</v>
      </c>
      <c r="R311" s="2"/>
    </row>
    <row r="312" customFormat="false" ht="15" hidden="false" customHeight="false" outlineLevel="0" collapsed="false">
      <c r="A312" s="2" t="s">
        <v>2280</v>
      </c>
      <c r="B312" s="2" t="s">
        <v>2281</v>
      </c>
      <c r="C312" s="2" t="s">
        <v>2213</v>
      </c>
      <c r="D312" s="2" t="s">
        <v>2196</v>
      </c>
      <c r="E312" s="2" t="s">
        <v>1463</v>
      </c>
      <c r="F312" s="2" t="s">
        <v>2197</v>
      </c>
      <c r="G312" s="5" t="n">
        <v>46239</v>
      </c>
      <c r="H312" s="5" t="n">
        <v>46299</v>
      </c>
      <c r="I312" s="2" t="n">
        <v>60</v>
      </c>
      <c r="J312" s="2" t="s">
        <v>41</v>
      </c>
      <c r="K312" s="6" t="n">
        <v>24570</v>
      </c>
      <c r="L312" s="2" t="s">
        <v>137</v>
      </c>
      <c r="M312" s="2" t="s">
        <v>1467</v>
      </c>
      <c r="N312" s="2"/>
      <c r="O312" s="7" t="b">
        <f aca="false">FALSE()</f>
        <v>0</v>
      </c>
      <c r="P312" s="2" t="n">
        <v>-4</v>
      </c>
      <c r="Q312" s="2" t="s">
        <v>2209</v>
      </c>
      <c r="R312" s="2"/>
    </row>
    <row r="313" customFormat="false" ht="15" hidden="false" customHeight="false" outlineLevel="0" collapsed="false">
      <c r="A313" s="2" t="s">
        <v>2280</v>
      </c>
      <c r="B313" s="2" t="s">
        <v>2281</v>
      </c>
      <c r="C313" s="2" t="s">
        <v>2213</v>
      </c>
      <c r="D313" s="2" t="s">
        <v>2196</v>
      </c>
      <c r="E313" s="2" t="s">
        <v>1468</v>
      </c>
      <c r="F313" s="2" t="s">
        <v>2222</v>
      </c>
      <c r="G313" s="5" t="n">
        <v>46253</v>
      </c>
      <c r="H313" s="5" t="n">
        <v>46253</v>
      </c>
      <c r="I313" s="2" t="n">
        <v>0</v>
      </c>
      <c r="J313" s="2" t="s">
        <v>41</v>
      </c>
      <c r="K313" s="6" t="n">
        <v>-109400</v>
      </c>
      <c r="L313" s="2" t="s">
        <v>137</v>
      </c>
      <c r="M313" s="2" t="s">
        <v>1470</v>
      </c>
      <c r="N313" s="2"/>
      <c r="O313" s="7" t="b">
        <f aca="false">FALSE()</f>
        <v>0</v>
      </c>
      <c r="P313" s="2" t="n">
        <v>42</v>
      </c>
      <c r="Q313" s="2" t="s">
        <v>2205</v>
      </c>
      <c r="R313" s="2"/>
    </row>
    <row r="314" customFormat="false" ht="15" hidden="false" customHeight="false" outlineLevel="0" collapsed="false">
      <c r="A314" s="2" t="s">
        <v>2280</v>
      </c>
      <c r="B314" s="2" t="s">
        <v>2281</v>
      </c>
      <c r="C314" s="2" t="s">
        <v>2213</v>
      </c>
      <c r="D314" s="2" t="s">
        <v>2196</v>
      </c>
      <c r="E314" s="2" t="s">
        <v>1471</v>
      </c>
      <c r="F314" s="2" t="s">
        <v>2197</v>
      </c>
      <c r="G314" s="5" t="n">
        <v>46259</v>
      </c>
      <c r="H314" s="5" t="n">
        <v>46319</v>
      </c>
      <c r="I314" s="2" t="n">
        <v>60</v>
      </c>
      <c r="J314" s="2" t="s">
        <v>41</v>
      </c>
      <c r="K314" s="6" t="n">
        <v>114034.49</v>
      </c>
      <c r="L314" s="2" t="s">
        <v>2204</v>
      </c>
      <c r="M314" s="2" t="s">
        <v>1473</v>
      </c>
      <c r="N314" s="2"/>
      <c r="O314" s="7" t="b">
        <f aca="false">FALSE()</f>
        <v>0</v>
      </c>
      <c r="P314" s="2" t="n">
        <v>-24</v>
      </c>
      <c r="Q314" s="2" t="s">
        <v>2209</v>
      </c>
      <c r="R314" s="2"/>
    </row>
    <row r="315" customFormat="false" ht="15" hidden="false" customHeight="false" outlineLevel="0" collapsed="false">
      <c r="A315" s="2" t="s">
        <v>2280</v>
      </c>
      <c r="B315" s="2" t="s">
        <v>2281</v>
      </c>
      <c r="C315" s="2" t="s">
        <v>2213</v>
      </c>
      <c r="D315" s="2" t="s">
        <v>2196</v>
      </c>
      <c r="E315" s="2" t="s">
        <v>2282</v>
      </c>
      <c r="F315" s="2" t="s">
        <v>2197</v>
      </c>
      <c r="G315" s="5" t="n">
        <v>46265</v>
      </c>
      <c r="H315" s="5" t="n">
        <v>46325</v>
      </c>
      <c r="I315" s="2" t="n">
        <v>60</v>
      </c>
      <c r="J315" s="2" t="s">
        <v>41</v>
      </c>
      <c r="K315" s="6" t="n">
        <v>50715</v>
      </c>
      <c r="L315" s="2" t="s">
        <v>2204</v>
      </c>
      <c r="M315" s="2" t="s">
        <v>1477</v>
      </c>
      <c r="N315" s="2"/>
      <c r="O315" s="7" t="b">
        <f aca="false">FALSE()</f>
        <v>0</v>
      </c>
      <c r="P315" s="2" t="n">
        <v>-30</v>
      </c>
      <c r="Q315" s="2" t="s">
        <v>2209</v>
      </c>
      <c r="R315" s="2"/>
    </row>
    <row r="316" customFormat="false" ht="15" hidden="false" customHeight="false" outlineLevel="0" collapsed="false">
      <c r="A316" s="2" t="s">
        <v>2280</v>
      </c>
      <c r="B316" s="2" t="s">
        <v>2281</v>
      </c>
      <c r="C316" s="2" t="s">
        <v>2213</v>
      </c>
      <c r="D316" s="2" t="s">
        <v>2196</v>
      </c>
      <c r="E316" s="2" t="s">
        <v>1481</v>
      </c>
      <c r="F316" s="2" t="s">
        <v>2212</v>
      </c>
      <c r="G316" s="5" t="n">
        <v>46279</v>
      </c>
      <c r="H316" s="5" t="n">
        <v>46279</v>
      </c>
      <c r="I316" s="2" t="n">
        <v>0</v>
      </c>
      <c r="J316" s="2" t="s">
        <v>41</v>
      </c>
      <c r="K316" s="6" t="n">
        <v>-49400</v>
      </c>
      <c r="L316" s="2" t="s">
        <v>137</v>
      </c>
      <c r="M316" s="2" t="s">
        <v>226</v>
      </c>
      <c r="N316" s="2"/>
      <c r="O316" s="7" t="b">
        <f aca="false">FALSE()</f>
        <v>0</v>
      </c>
      <c r="P316" s="2" t="n">
        <v>16</v>
      </c>
      <c r="Q316" s="2" t="s">
        <v>2207</v>
      </c>
      <c r="R316" s="2"/>
    </row>
    <row r="317" customFormat="false" ht="15" hidden="false" customHeight="false" outlineLevel="0" collapsed="false">
      <c r="A317" s="2" t="s">
        <v>2280</v>
      </c>
      <c r="B317" s="2" t="s">
        <v>2281</v>
      </c>
      <c r="C317" s="2" t="s">
        <v>2213</v>
      </c>
      <c r="D317" s="2" t="s">
        <v>2196</v>
      </c>
      <c r="E317" s="2" t="s">
        <v>1478</v>
      </c>
      <c r="F317" s="2" t="s">
        <v>2197</v>
      </c>
      <c r="G317" s="5" t="n">
        <v>46279</v>
      </c>
      <c r="H317" s="5" t="n">
        <v>46309</v>
      </c>
      <c r="I317" s="2" t="n">
        <v>30</v>
      </c>
      <c r="J317" s="2" t="s">
        <v>41</v>
      </c>
      <c r="K317" s="6" t="n">
        <v>100709.83</v>
      </c>
      <c r="L317" s="2" t="s">
        <v>2204</v>
      </c>
      <c r="M317" s="2" t="s">
        <v>1480</v>
      </c>
      <c r="N317" s="2"/>
      <c r="O317" s="7" t="b">
        <f aca="false">FALSE()</f>
        <v>0</v>
      </c>
      <c r="P317" s="2" t="n">
        <v>-14</v>
      </c>
      <c r="Q317" s="2" t="s">
        <v>2209</v>
      </c>
      <c r="R317" s="2"/>
    </row>
    <row r="318" customFormat="false" ht="15" hidden="false" customHeight="false" outlineLevel="0" collapsed="false">
      <c r="A318" s="2" t="s">
        <v>2280</v>
      </c>
      <c r="B318" s="2" t="s">
        <v>2281</v>
      </c>
      <c r="C318" s="2" t="s">
        <v>2213</v>
      </c>
      <c r="D318" s="2" t="s">
        <v>2196</v>
      </c>
      <c r="E318" s="2" t="s">
        <v>1486</v>
      </c>
      <c r="F318" s="2" t="s">
        <v>2197</v>
      </c>
      <c r="G318" s="5" t="n">
        <v>46280</v>
      </c>
      <c r="H318" s="5" t="n">
        <v>46340</v>
      </c>
      <c r="I318" s="2" t="n">
        <v>60</v>
      </c>
      <c r="J318" s="2" t="s">
        <v>41</v>
      </c>
      <c r="K318" s="6" t="n">
        <v>187034.06</v>
      </c>
      <c r="L318" s="2" t="s">
        <v>137</v>
      </c>
      <c r="M318" s="2" t="s">
        <v>1488</v>
      </c>
      <c r="N318" s="2"/>
      <c r="O318" s="7" t="b">
        <f aca="false">FALSE()</f>
        <v>0</v>
      </c>
      <c r="P318" s="2" t="n">
        <v>-45</v>
      </c>
      <c r="Q318" s="2" t="s">
        <v>2209</v>
      </c>
      <c r="R318" s="2"/>
    </row>
    <row r="319" customFormat="false" ht="15" hidden="false" customHeight="false" outlineLevel="0" collapsed="false">
      <c r="A319" s="2" t="s">
        <v>2280</v>
      </c>
      <c r="B319" s="2" t="s">
        <v>2281</v>
      </c>
      <c r="C319" s="2" t="s">
        <v>2213</v>
      </c>
      <c r="D319" s="2" t="s">
        <v>2196</v>
      </c>
      <c r="E319" s="2" t="s">
        <v>2283</v>
      </c>
      <c r="F319" s="2" t="s">
        <v>2197</v>
      </c>
      <c r="G319" s="5" t="n">
        <v>46283</v>
      </c>
      <c r="H319" s="5" t="n">
        <v>46343</v>
      </c>
      <c r="I319" s="2" t="n">
        <v>60</v>
      </c>
      <c r="J319" s="2" t="s">
        <v>41</v>
      </c>
      <c r="K319" s="6" t="n">
        <v>60219.78</v>
      </c>
      <c r="L319" s="2" t="s">
        <v>137</v>
      </c>
      <c r="M319" s="2" t="s">
        <v>1492</v>
      </c>
      <c r="N319" s="2"/>
      <c r="O319" s="7" t="b">
        <f aca="false">FALSE()</f>
        <v>0</v>
      </c>
      <c r="P319" s="2" t="n">
        <v>-48</v>
      </c>
      <c r="Q319" s="2" t="s">
        <v>2209</v>
      </c>
      <c r="R319" s="2" t="s">
        <v>2202</v>
      </c>
    </row>
    <row r="320" customFormat="false" ht="15" hidden="false" customHeight="false" outlineLevel="0" collapsed="false">
      <c r="A320" s="2" t="s">
        <v>2280</v>
      </c>
      <c r="B320" s="2" t="s">
        <v>2281</v>
      </c>
      <c r="C320" s="2" t="s">
        <v>2213</v>
      </c>
      <c r="D320" s="2" t="s">
        <v>2196</v>
      </c>
      <c r="E320" s="2" t="s">
        <v>1483</v>
      </c>
      <c r="F320" s="2" t="s">
        <v>2197</v>
      </c>
      <c r="G320" s="5" t="n">
        <v>46283</v>
      </c>
      <c r="H320" s="5" t="n">
        <v>46343</v>
      </c>
      <c r="I320" s="2" t="n">
        <v>60</v>
      </c>
      <c r="J320" s="2" t="s">
        <v>41</v>
      </c>
      <c r="K320" s="6" t="n">
        <v>141718</v>
      </c>
      <c r="L320" s="2" t="s">
        <v>137</v>
      </c>
      <c r="M320" s="2"/>
      <c r="N320" s="2"/>
      <c r="O320" s="7" t="b">
        <f aca="false">FALSE()</f>
        <v>0</v>
      </c>
      <c r="P320" s="2" t="n">
        <v>-48</v>
      </c>
      <c r="Q320" s="2" t="s">
        <v>2209</v>
      </c>
      <c r="R320" s="2"/>
    </row>
    <row r="321" customFormat="false" ht="15" hidden="false" customHeight="false" outlineLevel="0" collapsed="false">
      <c r="A321" s="2" t="s">
        <v>2280</v>
      </c>
      <c r="B321" s="2" t="s">
        <v>2281</v>
      </c>
      <c r="C321" s="2" t="s">
        <v>2213</v>
      </c>
      <c r="D321" s="2" t="s">
        <v>2196</v>
      </c>
      <c r="E321" s="2" t="s">
        <v>1493</v>
      </c>
      <c r="F321" s="2" t="s">
        <v>2197</v>
      </c>
      <c r="G321" s="5" t="n">
        <v>46292</v>
      </c>
      <c r="H321" s="5" t="n">
        <v>46352</v>
      </c>
      <c r="I321" s="2" t="n">
        <v>60</v>
      </c>
      <c r="J321" s="2" t="s">
        <v>41</v>
      </c>
      <c r="K321" s="6" t="n">
        <v>215680</v>
      </c>
      <c r="L321" s="2" t="s">
        <v>137</v>
      </c>
      <c r="M321" s="2" t="s">
        <v>1496</v>
      </c>
      <c r="N321" s="2"/>
      <c r="O321" s="7" t="b">
        <f aca="false">FALSE()</f>
        <v>0</v>
      </c>
      <c r="P321" s="2" t="n">
        <v>-57</v>
      </c>
      <c r="Q321" s="2" t="s">
        <v>2209</v>
      </c>
      <c r="R321" s="2"/>
    </row>
    <row r="322" customFormat="false" ht="15" hidden="false" customHeight="false" outlineLevel="0" collapsed="false">
      <c r="A322" s="2" t="s">
        <v>2280</v>
      </c>
      <c r="B322" s="2" t="s">
        <v>2281</v>
      </c>
      <c r="C322" s="2" t="s">
        <v>2213</v>
      </c>
      <c r="D322" s="2" t="s">
        <v>2196</v>
      </c>
      <c r="E322" s="2" t="s">
        <v>1497</v>
      </c>
      <c r="F322" s="2" t="s">
        <v>2197</v>
      </c>
      <c r="G322" s="5" t="n">
        <v>46294</v>
      </c>
      <c r="H322" s="5" t="n">
        <v>46339</v>
      </c>
      <c r="I322" s="2" t="n">
        <v>45</v>
      </c>
      <c r="J322" s="2" t="s">
        <v>41</v>
      </c>
      <c r="K322" s="6" t="n">
        <v>24308</v>
      </c>
      <c r="L322" s="2" t="s">
        <v>137</v>
      </c>
      <c r="M322" s="2" t="s">
        <v>1500</v>
      </c>
      <c r="N322" s="2"/>
      <c r="O322" s="7" t="b">
        <f aca="false">FALSE()</f>
        <v>0</v>
      </c>
      <c r="P322" s="2" t="n">
        <v>-44</v>
      </c>
      <c r="Q322" s="2" t="s">
        <v>2209</v>
      </c>
      <c r="R322" s="2"/>
    </row>
    <row r="323" customFormat="false" ht="15" hidden="false" customHeight="false" outlineLevel="0" collapsed="false">
      <c r="A323" s="2" t="s">
        <v>2284</v>
      </c>
      <c r="B323" s="2" t="s">
        <v>2285</v>
      </c>
      <c r="C323" s="2" t="s">
        <v>2229</v>
      </c>
      <c r="D323" s="2" t="s">
        <v>2275</v>
      </c>
      <c r="E323" s="2" t="s">
        <v>1504</v>
      </c>
      <c r="F323" s="2" t="s">
        <v>2197</v>
      </c>
      <c r="G323" s="5" t="n">
        <v>45976</v>
      </c>
      <c r="H323" s="5" t="n">
        <v>46021</v>
      </c>
      <c r="I323" s="2" t="n">
        <v>45</v>
      </c>
      <c r="J323" s="2" t="s">
        <v>41</v>
      </c>
      <c r="K323" s="6" t="n">
        <v>347860.48</v>
      </c>
      <c r="L323" s="2" t="s">
        <v>571</v>
      </c>
      <c r="M323" s="2" t="s">
        <v>1508</v>
      </c>
      <c r="N323" s="2"/>
      <c r="O323" s="7" t="b">
        <f aca="false">FALSE()</f>
        <v>0</v>
      </c>
      <c r="P323" s="2" t="n">
        <v>274</v>
      </c>
      <c r="Q323" s="2" t="s">
        <v>2198</v>
      </c>
      <c r="R323" s="2"/>
    </row>
    <row r="324" customFormat="false" ht="15" hidden="false" customHeight="false" outlineLevel="0" collapsed="false">
      <c r="A324" s="2" t="s">
        <v>2284</v>
      </c>
      <c r="B324" s="2" t="s">
        <v>2285</v>
      </c>
      <c r="C324" s="2" t="s">
        <v>2229</v>
      </c>
      <c r="D324" s="2" t="s">
        <v>2275</v>
      </c>
      <c r="E324" s="2" t="s">
        <v>1509</v>
      </c>
      <c r="F324" s="2" t="s">
        <v>2197</v>
      </c>
      <c r="G324" s="5" t="n">
        <v>46028</v>
      </c>
      <c r="H324" s="5" t="n">
        <v>46073</v>
      </c>
      <c r="I324" s="2" t="n">
        <v>45</v>
      </c>
      <c r="J324" s="2" t="s">
        <v>41</v>
      </c>
      <c r="K324" s="6" t="n">
        <v>13098</v>
      </c>
      <c r="L324" s="2" t="s">
        <v>571</v>
      </c>
      <c r="M324" s="2"/>
      <c r="N324" s="2"/>
      <c r="O324" s="7" t="b">
        <f aca="false">FALSE()</f>
        <v>0</v>
      </c>
      <c r="P324" s="2" t="n">
        <v>222</v>
      </c>
      <c r="Q324" s="2" t="s">
        <v>2198</v>
      </c>
      <c r="R324" s="2"/>
    </row>
    <row r="325" customFormat="false" ht="15" hidden="false" customHeight="false" outlineLevel="0" collapsed="false">
      <c r="A325" s="2" t="s">
        <v>2284</v>
      </c>
      <c r="B325" s="2" t="s">
        <v>2285</v>
      </c>
      <c r="C325" s="2" t="s">
        <v>2229</v>
      </c>
      <c r="D325" s="2" t="s">
        <v>2275</v>
      </c>
      <c r="E325" s="2" t="s">
        <v>1512</v>
      </c>
      <c r="F325" s="2" t="s">
        <v>2197</v>
      </c>
      <c r="G325" s="5" t="n">
        <v>46106</v>
      </c>
      <c r="H325" s="5" t="n">
        <v>46151</v>
      </c>
      <c r="I325" s="2" t="n">
        <v>45</v>
      </c>
      <c r="J325" s="2" t="s">
        <v>41</v>
      </c>
      <c r="K325" s="6" t="n">
        <v>636374</v>
      </c>
      <c r="L325" s="2" t="s">
        <v>571</v>
      </c>
      <c r="M325" s="2" t="s">
        <v>1515</v>
      </c>
      <c r="N325" s="2"/>
      <c r="O325" s="7" t="b">
        <f aca="false">FALSE()</f>
        <v>0</v>
      </c>
      <c r="P325" s="2" t="n">
        <v>144</v>
      </c>
      <c r="Q325" s="2" t="s">
        <v>2201</v>
      </c>
      <c r="R325" s="2"/>
    </row>
    <row r="326" customFormat="false" ht="15" hidden="false" customHeight="false" outlineLevel="0" collapsed="false">
      <c r="A326" s="2" t="s">
        <v>2284</v>
      </c>
      <c r="B326" s="2" t="s">
        <v>2285</v>
      </c>
      <c r="C326" s="2" t="s">
        <v>2229</v>
      </c>
      <c r="D326" s="2" t="s">
        <v>2275</v>
      </c>
      <c r="E326" s="2" t="s">
        <v>2286</v>
      </c>
      <c r="F326" s="2" t="s">
        <v>2197</v>
      </c>
      <c r="G326" s="5" t="n">
        <v>46114</v>
      </c>
      <c r="H326" s="5" t="n">
        <v>46159</v>
      </c>
      <c r="I326" s="2" t="n">
        <v>45</v>
      </c>
      <c r="J326" s="2" t="s">
        <v>41</v>
      </c>
      <c r="K326" s="6" t="n">
        <v>15373.89</v>
      </c>
      <c r="L326" s="2" t="s">
        <v>571</v>
      </c>
      <c r="M326" s="2" t="s">
        <v>307</v>
      </c>
      <c r="N326" s="2"/>
      <c r="O326" s="7" t="b">
        <f aca="false">FALSE()</f>
        <v>0</v>
      </c>
      <c r="P326" s="2" t="n">
        <v>136</v>
      </c>
      <c r="Q326" s="2" t="s">
        <v>2201</v>
      </c>
      <c r="R326" s="2"/>
    </row>
    <row r="327" customFormat="false" ht="15" hidden="false" customHeight="false" outlineLevel="0" collapsed="false">
      <c r="A327" s="2" t="s">
        <v>2284</v>
      </c>
      <c r="B327" s="2" t="s">
        <v>2285</v>
      </c>
      <c r="C327" s="2" t="s">
        <v>2229</v>
      </c>
      <c r="D327" s="2" t="s">
        <v>2275</v>
      </c>
      <c r="E327" s="2" t="s">
        <v>1518</v>
      </c>
      <c r="F327" s="2" t="s">
        <v>2197</v>
      </c>
      <c r="G327" s="5" t="n">
        <v>46129</v>
      </c>
      <c r="H327" s="5" t="n">
        <v>46174</v>
      </c>
      <c r="I327" s="2" t="n">
        <v>45</v>
      </c>
      <c r="J327" s="2" t="s">
        <v>41</v>
      </c>
      <c r="K327" s="6" t="n">
        <v>121894</v>
      </c>
      <c r="L327" s="2" t="s">
        <v>571</v>
      </c>
      <c r="M327" s="2" t="s">
        <v>1521</v>
      </c>
      <c r="N327" s="2"/>
      <c r="O327" s="7" t="b">
        <f aca="false">FALSE()</f>
        <v>0</v>
      </c>
      <c r="P327" s="2" t="n">
        <v>121</v>
      </c>
      <c r="Q327" s="2" t="s">
        <v>2201</v>
      </c>
      <c r="R327" s="2"/>
    </row>
    <row r="328" customFormat="false" ht="15" hidden="false" customHeight="false" outlineLevel="0" collapsed="false">
      <c r="A328" s="2" t="s">
        <v>2284</v>
      </c>
      <c r="B328" s="2" t="s">
        <v>2285</v>
      </c>
      <c r="C328" s="2" t="s">
        <v>2229</v>
      </c>
      <c r="D328" s="2" t="s">
        <v>2275</v>
      </c>
      <c r="E328" s="2" t="s">
        <v>1522</v>
      </c>
      <c r="F328" s="2" t="s">
        <v>2197</v>
      </c>
      <c r="G328" s="5" t="n">
        <v>46167</v>
      </c>
      <c r="H328" s="5" t="n">
        <v>46197</v>
      </c>
      <c r="I328" s="2" t="n">
        <v>30</v>
      </c>
      <c r="J328" s="2" t="s">
        <v>41</v>
      </c>
      <c r="K328" s="6" t="n">
        <v>135582</v>
      </c>
      <c r="L328" s="2" t="s">
        <v>571</v>
      </c>
      <c r="M328" s="2" t="s">
        <v>1525</v>
      </c>
      <c r="N328" s="2"/>
      <c r="O328" s="7" t="b">
        <f aca="false">FALSE()</f>
        <v>0</v>
      </c>
      <c r="P328" s="2" t="n">
        <v>98</v>
      </c>
      <c r="Q328" s="2" t="s">
        <v>2201</v>
      </c>
      <c r="R328" s="2"/>
    </row>
    <row r="329" customFormat="false" ht="15" hidden="false" customHeight="false" outlineLevel="0" collapsed="false">
      <c r="A329" s="2" t="s">
        <v>2284</v>
      </c>
      <c r="B329" s="2" t="s">
        <v>2285</v>
      </c>
      <c r="C329" s="2" t="s">
        <v>2229</v>
      </c>
      <c r="D329" s="2" t="s">
        <v>2275</v>
      </c>
      <c r="E329" s="2" t="s">
        <v>1526</v>
      </c>
      <c r="F329" s="2" t="s">
        <v>2197</v>
      </c>
      <c r="G329" s="5" t="n">
        <v>46183</v>
      </c>
      <c r="H329" s="5" t="n">
        <v>46228</v>
      </c>
      <c r="I329" s="2" t="n">
        <v>45</v>
      </c>
      <c r="J329" s="2" t="s">
        <v>41</v>
      </c>
      <c r="K329" s="6" t="n">
        <v>15855</v>
      </c>
      <c r="L329" s="2" t="s">
        <v>571</v>
      </c>
      <c r="M329" s="2"/>
      <c r="N329" s="2" t="s">
        <v>645</v>
      </c>
      <c r="O329" s="7" t="b">
        <f aca="false">FALSE()</f>
        <v>0</v>
      </c>
      <c r="P329" s="2" t="n">
        <v>67</v>
      </c>
      <c r="Q329" s="2" t="s">
        <v>2203</v>
      </c>
      <c r="R329" s="2"/>
    </row>
    <row r="330" customFormat="false" ht="15" hidden="false" customHeight="false" outlineLevel="0" collapsed="false">
      <c r="A330" s="2" t="s">
        <v>2284</v>
      </c>
      <c r="B330" s="2" t="s">
        <v>2285</v>
      </c>
      <c r="C330" s="2" t="s">
        <v>2229</v>
      </c>
      <c r="D330" s="2" t="s">
        <v>2275</v>
      </c>
      <c r="E330" s="2" t="s">
        <v>1529</v>
      </c>
      <c r="F330" s="2" t="s">
        <v>2197</v>
      </c>
      <c r="G330" s="5" t="n">
        <v>46209</v>
      </c>
      <c r="H330" s="5" t="n">
        <v>46254</v>
      </c>
      <c r="I330" s="2" t="n">
        <v>45</v>
      </c>
      <c r="J330" s="2" t="s">
        <v>41</v>
      </c>
      <c r="K330" s="6" t="n">
        <v>220542</v>
      </c>
      <c r="L330" s="2" t="s">
        <v>571</v>
      </c>
      <c r="M330" s="2" t="s">
        <v>667</v>
      </c>
      <c r="N330" s="2"/>
      <c r="O330" s="7" t="b">
        <f aca="false">FALSE()</f>
        <v>0</v>
      </c>
      <c r="P330" s="2" t="n">
        <v>41</v>
      </c>
      <c r="Q330" s="2" t="s">
        <v>2205</v>
      </c>
      <c r="R330" s="2"/>
    </row>
    <row r="331" customFormat="false" ht="15" hidden="false" customHeight="false" outlineLevel="0" collapsed="false">
      <c r="A331" s="2" t="s">
        <v>2284</v>
      </c>
      <c r="B331" s="2" t="s">
        <v>2285</v>
      </c>
      <c r="C331" s="2" t="s">
        <v>2229</v>
      </c>
      <c r="D331" s="2" t="s">
        <v>2275</v>
      </c>
      <c r="E331" s="2" t="s">
        <v>1533</v>
      </c>
      <c r="F331" s="2" t="s">
        <v>2197</v>
      </c>
      <c r="G331" s="5" t="n">
        <v>46268</v>
      </c>
      <c r="H331" s="5" t="n">
        <v>46313</v>
      </c>
      <c r="I331" s="2" t="n">
        <v>45</v>
      </c>
      <c r="J331" s="2" t="s">
        <v>41</v>
      </c>
      <c r="K331" s="6" t="n">
        <v>43896</v>
      </c>
      <c r="L331" s="2" t="s">
        <v>571</v>
      </c>
      <c r="M331" s="2" t="s">
        <v>1535</v>
      </c>
      <c r="N331" s="2"/>
      <c r="O331" s="7" t="b">
        <f aca="false">FALSE()</f>
        <v>0</v>
      </c>
      <c r="P331" s="2" t="n">
        <v>-18</v>
      </c>
      <c r="Q331" s="2" t="s">
        <v>2209</v>
      </c>
      <c r="R331" s="2"/>
    </row>
    <row r="332" customFormat="false" ht="15" hidden="false" customHeight="false" outlineLevel="0" collapsed="false">
      <c r="A332" s="2" t="s">
        <v>2284</v>
      </c>
      <c r="B332" s="2" t="s">
        <v>2285</v>
      </c>
      <c r="C332" s="2" t="s">
        <v>2229</v>
      </c>
      <c r="D332" s="2" t="s">
        <v>2275</v>
      </c>
      <c r="E332" s="2" t="s">
        <v>1536</v>
      </c>
      <c r="F332" s="2" t="s">
        <v>2197</v>
      </c>
      <c r="G332" s="5" t="n">
        <v>46283</v>
      </c>
      <c r="H332" s="5" t="n">
        <v>46328</v>
      </c>
      <c r="I332" s="2" t="n">
        <v>45</v>
      </c>
      <c r="J332" s="2" t="s">
        <v>41</v>
      </c>
      <c r="K332" s="6" t="n">
        <v>26231.16</v>
      </c>
      <c r="L332" s="2" t="s">
        <v>571</v>
      </c>
      <c r="M332" s="2"/>
      <c r="N332" s="2"/>
      <c r="O332" s="7" t="b">
        <f aca="false">FALSE()</f>
        <v>0</v>
      </c>
      <c r="P332" s="2" t="n">
        <v>-33</v>
      </c>
      <c r="Q332" s="2" t="s">
        <v>2209</v>
      </c>
      <c r="R332" s="2" t="s">
        <v>2200</v>
      </c>
    </row>
    <row r="333" customFormat="false" ht="15" hidden="false" customHeight="false" outlineLevel="0" collapsed="false">
      <c r="A333" s="2" t="s">
        <v>2284</v>
      </c>
      <c r="B333" s="2" t="s">
        <v>2285</v>
      </c>
      <c r="C333" s="2" t="s">
        <v>2229</v>
      </c>
      <c r="D333" s="2" t="s">
        <v>2275</v>
      </c>
      <c r="E333" s="2" t="s">
        <v>1538</v>
      </c>
      <c r="F333" s="2" t="s">
        <v>2197</v>
      </c>
      <c r="G333" s="5" t="n">
        <v>46289</v>
      </c>
      <c r="H333" s="5" t="n">
        <v>46334</v>
      </c>
      <c r="I333" s="2" t="n">
        <v>45</v>
      </c>
      <c r="J333" s="2" t="s">
        <v>41</v>
      </c>
      <c r="K333" s="6" t="n">
        <v>36678.85</v>
      </c>
      <c r="L333" s="2" t="s">
        <v>571</v>
      </c>
      <c r="M333" s="2" t="s">
        <v>1541</v>
      </c>
      <c r="N333" s="2"/>
      <c r="O333" s="7" t="b">
        <f aca="false">FALSE()</f>
        <v>0</v>
      </c>
      <c r="P333" s="2" t="n">
        <v>-39</v>
      </c>
      <c r="Q333" s="2" t="s">
        <v>2209</v>
      </c>
      <c r="R333" s="2"/>
    </row>
    <row r="334" customFormat="false" ht="15" hidden="false" customHeight="false" outlineLevel="0" collapsed="false">
      <c r="A334" s="2" t="s">
        <v>2284</v>
      </c>
      <c r="B334" s="2" t="s">
        <v>2285</v>
      </c>
      <c r="C334" s="2" t="s">
        <v>2229</v>
      </c>
      <c r="D334" s="2" t="s">
        <v>2275</v>
      </c>
      <c r="E334" s="2" t="s">
        <v>1542</v>
      </c>
      <c r="F334" s="2" t="s">
        <v>2197</v>
      </c>
      <c r="G334" s="5" t="n">
        <v>46290</v>
      </c>
      <c r="H334" s="5" t="n">
        <v>46335</v>
      </c>
      <c r="I334" s="2" t="n">
        <v>45</v>
      </c>
      <c r="J334" s="2" t="s">
        <v>41</v>
      </c>
      <c r="K334" s="6" t="n">
        <v>142800</v>
      </c>
      <c r="L334" s="2" t="s">
        <v>571</v>
      </c>
      <c r="M334" s="2" t="s">
        <v>1544</v>
      </c>
      <c r="N334" s="2"/>
      <c r="O334" s="7" t="b">
        <f aca="false">FALSE()</f>
        <v>0</v>
      </c>
      <c r="P334" s="2" t="n">
        <v>-40</v>
      </c>
      <c r="Q334" s="2" t="s">
        <v>2209</v>
      </c>
      <c r="R334" s="2"/>
    </row>
    <row r="335" customFormat="false" ht="15" hidden="false" customHeight="false" outlineLevel="0" collapsed="false">
      <c r="A335" s="2" t="s">
        <v>1546</v>
      </c>
      <c r="B335" s="2" t="s">
        <v>2287</v>
      </c>
      <c r="C335" s="2" t="s">
        <v>2229</v>
      </c>
      <c r="D335" s="2" t="s">
        <v>2250</v>
      </c>
      <c r="E335" s="2" t="s">
        <v>1548</v>
      </c>
      <c r="F335" s="2" t="s">
        <v>2197</v>
      </c>
      <c r="G335" s="5" t="n">
        <v>46172</v>
      </c>
      <c r="H335" s="5" t="n">
        <v>46202</v>
      </c>
      <c r="I335" s="2" t="n">
        <v>30</v>
      </c>
      <c r="J335" s="2" t="s">
        <v>41</v>
      </c>
      <c r="K335" s="6" t="n">
        <v>176056</v>
      </c>
      <c r="L335" s="2" t="s">
        <v>2204</v>
      </c>
      <c r="M335" s="2" t="s">
        <v>1552</v>
      </c>
      <c r="N335" s="2"/>
      <c r="O335" s="7" t="b">
        <f aca="false">FALSE()</f>
        <v>0</v>
      </c>
      <c r="P335" s="2" t="n">
        <v>93</v>
      </c>
      <c r="Q335" s="2" t="s">
        <v>2201</v>
      </c>
      <c r="R335" s="2"/>
    </row>
    <row r="336" customFormat="false" ht="15" hidden="false" customHeight="false" outlineLevel="0" collapsed="false">
      <c r="A336" s="2" t="s">
        <v>1546</v>
      </c>
      <c r="B336" s="2" t="s">
        <v>2287</v>
      </c>
      <c r="C336" s="2" t="s">
        <v>2229</v>
      </c>
      <c r="D336" s="2" t="s">
        <v>2250</v>
      </c>
      <c r="E336" s="2" t="s">
        <v>2288</v>
      </c>
      <c r="F336" s="2" t="s">
        <v>2197</v>
      </c>
      <c r="G336" s="5" t="n">
        <v>46210</v>
      </c>
      <c r="H336" s="5" t="n">
        <v>46240</v>
      </c>
      <c r="I336" s="2" t="n">
        <v>30</v>
      </c>
      <c r="J336" s="2" t="s">
        <v>41</v>
      </c>
      <c r="K336" s="6" t="n">
        <v>20060</v>
      </c>
      <c r="L336" s="2" t="s">
        <v>1596</v>
      </c>
      <c r="M336" s="2"/>
      <c r="N336" s="2" t="s">
        <v>624</v>
      </c>
      <c r="O336" s="7" t="b">
        <f aca="false">TRUE()</f>
        <v>1</v>
      </c>
      <c r="P336" s="2" t="n">
        <v>55</v>
      </c>
      <c r="Q336" s="2" t="s">
        <v>2205</v>
      </c>
      <c r="R336" s="2" t="s">
        <v>2200</v>
      </c>
    </row>
    <row r="337" customFormat="false" ht="15" hidden="false" customHeight="false" outlineLevel="0" collapsed="false">
      <c r="A337" s="2" t="s">
        <v>1546</v>
      </c>
      <c r="B337" s="2" t="s">
        <v>2287</v>
      </c>
      <c r="C337" s="2" t="s">
        <v>2229</v>
      </c>
      <c r="D337" s="2" t="s">
        <v>2250</v>
      </c>
      <c r="E337" s="2" t="s">
        <v>2289</v>
      </c>
      <c r="F337" s="2" t="s">
        <v>2197</v>
      </c>
      <c r="G337" s="5" t="n">
        <v>46233</v>
      </c>
      <c r="H337" s="5" t="n">
        <v>46263</v>
      </c>
      <c r="I337" s="2" t="n">
        <v>30</v>
      </c>
      <c r="J337" s="2" t="s">
        <v>41</v>
      </c>
      <c r="K337" s="6" t="n">
        <v>403191.34</v>
      </c>
      <c r="L337" s="2" t="s">
        <v>1596</v>
      </c>
      <c r="M337" s="2" t="s">
        <v>1557</v>
      </c>
      <c r="N337" s="2"/>
      <c r="O337" s="7" t="b">
        <f aca="false">FALSE()</f>
        <v>0</v>
      </c>
      <c r="P337" s="2" t="n">
        <v>32</v>
      </c>
      <c r="Q337" s="2" t="s">
        <v>2205</v>
      </c>
      <c r="R337" s="2"/>
    </row>
    <row r="338" customFormat="false" ht="15" hidden="false" customHeight="false" outlineLevel="0" collapsed="false">
      <c r="A338" s="2" t="s">
        <v>1546</v>
      </c>
      <c r="B338" s="2" t="s">
        <v>2287</v>
      </c>
      <c r="C338" s="2" t="s">
        <v>2229</v>
      </c>
      <c r="D338" s="2" t="s">
        <v>2250</v>
      </c>
      <c r="E338" s="2" t="s">
        <v>1558</v>
      </c>
      <c r="F338" s="2" t="s">
        <v>2197</v>
      </c>
      <c r="G338" s="5" t="n">
        <v>46257</v>
      </c>
      <c r="H338" s="5" t="n">
        <v>46287</v>
      </c>
      <c r="I338" s="2" t="n">
        <v>30</v>
      </c>
      <c r="J338" s="2" t="s">
        <v>41</v>
      </c>
      <c r="K338" s="6" t="n">
        <v>88522.62</v>
      </c>
      <c r="L338" s="2" t="s">
        <v>1596</v>
      </c>
      <c r="M338" s="2" t="s">
        <v>1560</v>
      </c>
      <c r="N338" s="2"/>
      <c r="O338" s="7" t="b">
        <f aca="false">FALSE()</f>
        <v>0</v>
      </c>
      <c r="P338" s="2" t="n">
        <v>8</v>
      </c>
      <c r="Q338" s="2" t="s">
        <v>2207</v>
      </c>
      <c r="R338" s="2"/>
    </row>
    <row r="339" customFormat="false" ht="15" hidden="false" customHeight="false" outlineLevel="0" collapsed="false">
      <c r="A339" s="2" t="s">
        <v>1562</v>
      </c>
      <c r="B339" s="2" t="s">
        <v>1563</v>
      </c>
      <c r="C339" s="2" t="s">
        <v>2220</v>
      </c>
      <c r="D339" s="2" t="s">
        <v>2275</v>
      </c>
      <c r="E339" s="2" t="s">
        <v>2290</v>
      </c>
      <c r="F339" s="2" t="s">
        <v>2197</v>
      </c>
      <c r="G339" s="5" t="n">
        <v>45885</v>
      </c>
      <c r="H339" s="5" t="n">
        <v>45915</v>
      </c>
      <c r="I339" s="2" t="n">
        <v>30</v>
      </c>
      <c r="J339" s="2" t="s">
        <v>41</v>
      </c>
      <c r="K339" s="6" t="n">
        <v>11520</v>
      </c>
      <c r="L339" s="2" t="s">
        <v>1596</v>
      </c>
      <c r="M339" s="2" t="s">
        <v>1568</v>
      </c>
      <c r="N339" s="2" t="s">
        <v>1202</v>
      </c>
      <c r="O339" s="7" t="b">
        <f aca="false">TRUE()</f>
        <v>1</v>
      </c>
      <c r="P339" s="2" t="n">
        <v>380</v>
      </c>
      <c r="Q339" s="2" t="s">
        <v>2198</v>
      </c>
      <c r="R339" s="2"/>
    </row>
    <row r="340" customFormat="false" ht="15" hidden="false" customHeight="false" outlineLevel="0" collapsed="false">
      <c r="A340" s="2" t="s">
        <v>1562</v>
      </c>
      <c r="B340" s="2" t="s">
        <v>1563</v>
      </c>
      <c r="C340" s="2" t="s">
        <v>2220</v>
      </c>
      <c r="D340" s="2" t="s">
        <v>2275</v>
      </c>
      <c r="E340" s="2" t="s">
        <v>2291</v>
      </c>
      <c r="F340" s="2" t="s">
        <v>2199</v>
      </c>
      <c r="G340" s="5" t="n">
        <v>45944</v>
      </c>
      <c r="H340" s="5" t="n">
        <v>45944</v>
      </c>
      <c r="I340" s="2" t="n">
        <v>0</v>
      </c>
      <c r="J340" s="2" t="s">
        <v>41</v>
      </c>
      <c r="K340" s="6" t="n">
        <v>-6081.24</v>
      </c>
      <c r="L340" s="2" t="s">
        <v>1596</v>
      </c>
      <c r="M340" s="2"/>
      <c r="N340" s="2"/>
      <c r="O340" s="7" t="b">
        <f aca="false">FALSE()</f>
        <v>0</v>
      </c>
      <c r="P340" s="2" t="n">
        <v>351</v>
      </c>
      <c r="Q340" s="2" t="s">
        <v>2198</v>
      </c>
      <c r="R340" s="2"/>
    </row>
    <row r="341" customFormat="false" ht="15" hidden="false" customHeight="false" outlineLevel="0" collapsed="false">
      <c r="A341" s="2" t="s">
        <v>1562</v>
      </c>
      <c r="B341" s="2" t="s">
        <v>1563</v>
      </c>
      <c r="C341" s="2" t="s">
        <v>2220</v>
      </c>
      <c r="D341" s="2" t="s">
        <v>2275</v>
      </c>
      <c r="E341" s="2" t="s">
        <v>1572</v>
      </c>
      <c r="F341" s="2" t="s">
        <v>2197</v>
      </c>
      <c r="G341" s="5" t="n">
        <v>46040</v>
      </c>
      <c r="H341" s="5" t="n">
        <v>46070</v>
      </c>
      <c r="I341" s="2" t="n">
        <v>30</v>
      </c>
      <c r="J341" s="2" t="s">
        <v>41</v>
      </c>
      <c r="K341" s="6" t="n">
        <v>195411.63</v>
      </c>
      <c r="L341" s="2" t="s">
        <v>1596</v>
      </c>
      <c r="M341" s="2"/>
      <c r="N341" s="2"/>
      <c r="O341" s="7" t="b">
        <f aca="false">FALSE()</f>
        <v>0</v>
      </c>
      <c r="P341" s="2" t="n">
        <v>225</v>
      </c>
      <c r="Q341" s="2" t="s">
        <v>2198</v>
      </c>
      <c r="R341" s="2" t="s">
        <v>2251</v>
      </c>
    </row>
    <row r="342" customFormat="false" ht="15" hidden="false" customHeight="false" outlineLevel="0" collapsed="false">
      <c r="A342" s="2" t="s">
        <v>1562</v>
      </c>
      <c r="B342" s="2" t="s">
        <v>1563</v>
      </c>
      <c r="C342" s="2" t="s">
        <v>2220</v>
      </c>
      <c r="D342" s="2" t="s">
        <v>2275</v>
      </c>
      <c r="E342" s="2" t="s">
        <v>1575</v>
      </c>
      <c r="F342" s="2" t="s">
        <v>2197</v>
      </c>
      <c r="G342" s="5" t="n">
        <v>46049</v>
      </c>
      <c r="H342" s="5" t="n">
        <v>46079</v>
      </c>
      <c r="I342" s="2" t="n">
        <v>30</v>
      </c>
      <c r="J342" s="2" t="s">
        <v>41</v>
      </c>
      <c r="K342" s="6" t="n">
        <v>36419.58</v>
      </c>
      <c r="L342" s="2" t="s">
        <v>1596</v>
      </c>
      <c r="M342" s="2" t="s">
        <v>1579</v>
      </c>
      <c r="N342" s="2"/>
      <c r="O342" s="7" t="b">
        <f aca="false">FALSE()</f>
        <v>0</v>
      </c>
      <c r="P342" s="2" t="n">
        <v>216</v>
      </c>
      <c r="Q342" s="2" t="s">
        <v>2198</v>
      </c>
      <c r="R342" s="2"/>
    </row>
    <row r="343" customFormat="false" ht="15" hidden="false" customHeight="false" outlineLevel="0" collapsed="false">
      <c r="A343" s="2" t="s">
        <v>1562</v>
      </c>
      <c r="B343" s="2" t="s">
        <v>1563</v>
      </c>
      <c r="C343" s="2" t="s">
        <v>2220</v>
      </c>
      <c r="D343" s="2" t="s">
        <v>2275</v>
      </c>
      <c r="E343" s="2" t="s">
        <v>1582</v>
      </c>
      <c r="F343" s="2" t="s">
        <v>2197</v>
      </c>
      <c r="G343" s="5" t="n">
        <v>46097</v>
      </c>
      <c r="H343" s="5" t="n">
        <v>46127</v>
      </c>
      <c r="I343" s="2" t="n">
        <v>30</v>
      </c>
      <c r="J343" s="2" t="s">
        <v>41</v>
      </c>
      <c r="K343" s="6" t="n">
        <v>35277.43</v>
      </c>
      <c r="L343" s="2" t="s">
        <v>1596</v>
      </c>
      <c r="M343" s="2" t="s">
        <v>1584</v>
      </c>
      <c r="N343" s="2"/>
      <c r="O343" s="7" t="b">
        <f aca="false">FALSE()</f>
        <v>0</v>
      </c>
      <c r="P343" s="2" t="n">
        <v>168</v>
      </c>
      <c r="Q343" s="2" t="s">
        <v>2201</v>
      </c>
      <c r="R343" s="2"/>
    </row>
    <row r="344" customFormat="false" ht="15" hidden="false" customHeight="false" outlineLevel="0" collapsed="false">
      <c r="A344" s="2" t="s">
        <v>1562</v>
      </c>
      <c r="B344" s="2" t="s">
        <v>1563</v>
      </c>
      <c r="C344" s="2" t="s">
        <v>2220</v>
      </c>
      <c r="D344" s="2" t="s">
        <v>2275</v>
      </c>
      <c r="E344" s="2" t="s">
        <v>1580</v>
      </c>
      <c r="F344" s="2" t="s">
        <v>2212</v>
      </c>
      <c r="G344" s="5" t="n">
        <v>46124</v>
      </c>
      <c r="H344" s="5" t="n">
        <v>46124</v>
      </c>
      <c r="I344" s="2" t="n">
        <v>0</v>
      </c>
      <c r="J344" s="2" t="s">
        <v>41</v>
      </c>
      <c r="K344" s="6" t="n">
        <v>-54000</v>
      </c>
      <c r="L344" s="2" t="s">
        <v>1596</v>
      </c>
      <c r="M344" s="2"/>
      <c r="N344" s="2"/>
      <c r="O344" s="7" t="b">
        <f aca="false">FALSE()</f>
        <v>0</v>
      </c>
      <c r="P344" s="2" t="n">
        <v>171</v>
      </c>
      <c r="Q344" s="2" t="s">
        <v>2201</v>
      </c>
      <c r="R344" s="2"/>
    </row>
    <row r="345" customFormat="false" ht="15" hidden="false" customHeight="false" outlineLevel="0" collapsed="false">
      <c r="A345" s="2" t="s">
        <v>1562</v>
      </c>
      <c r="B345" s="2" t="s">
        <v>1563</v>
      </c>
      <c r="C345" s="2" t="s">
        <v>2220</v>
      </c>
      <c r="D345" s="2" t="s">
        <v>2275</v>
      </c>
      <c r="E345" s="2" t="s">
        <v>1585</v>
      </c>
      <c r="F345" s="2" t="s">
        <v>2222</v>
      </c>
      <c r="G345" s="5" t="n">
        <v>46139</v>
      </c>
      <c r="H345" s="5" t="n">
        <v>46139</v>
      </c>
      <c r="I345" s="2" t="n">
        <v>0</v>
      </c>
      <c r="J345" s="2" t="s">
        <v>41</v>
      </c>
      <c r="K345" s="6" t="n">
        <v>-123000</v>
      </c>
      <c r="L345" s="2" t="s">
        <v>1596</v>
      </c>
      <c r="M345" s="2" t="s">
        <v>1588</v>
      </c>
      <c r="N345" s="2"/>
      <c r="O345" s="7" t="b">
        <f aca="false">FALSE()</f>
        <v>0</v>
      </c>
      <c r="P345" s="2" t="n">
        <v>156</v>
      </c>
      <c r="Q345" s="2" t="s">
        <v>2201</v>
      </c>
      <c r="R345" s="2"/>
    </row>
    <row r="346" customFormat="false" ht="15" hidden="false" customHeight="false" outlineLevel="0" collapsed="false">
      <c r="A346" s="2" t="s">
        <v>1562</v>
      </c>
      <c r="B346" s="2" t="s">
        <v>1563</v>
      </c>
      <c r="C346" s="2" t="s">
        <v>2220</v>
      </c>
      <c r="D346" s="2" t="s">
        <v>2275</v>
      </c>
      <c r="E346" s="2" t="s">
        <v>1589</v>
      </c>
      <c r="F346" s="2" t="s">
        <v>2197</v>
      </c>
      <c r="G346" s="5" t="n">
        <v>46145</v>
      </c>
      <c r="H346" s="5" t="n">
        <v>46175</v>
      </c>
      <c r="I346" s="2" t="n">
        <v>30</v>
      </c>
      <c r="J346" s="2" t="s">
        <v>41</v>
      </c>
      <c r="K346" s="6" t="n">
        <v>85059.37</v>
      </c>
      <c r="L346" s="2" t="s">
        <v>1596</v>
      </c>
      <c r="M346" s="2" t="s">
        <v>1592</v>
      </c>
      <c r="N346" s="2"/>
      <c r="O346" s="7" t="b">
        <f aca="false">FALSE()</f>
        <v>0</v>
      </c>
      <c r="P346" s="2" t="n">
        <v>120</v>
      </c>
      <c r="Q346" s="2" t="s">
        <v>2201</v>
      </c>
      <c r="R346" s="2"/>
    </row>
    <row r="347" customFormat="false" ht="15" hidden="false" customHeight="false" outlineLevel="0" collapsed="false">
      <c r="A347" s="2" t="s">
        <v>1562</v>
      </c>
      <c r="B347" s="2" t="s">
        <v>1563</v>
      </c>
      <c r="C347" s="2" t="s">
        <v>2220</v>
      </c>
      <c r="D347" s="2" t="s">
        <v>2275</v>
      </c>
      <c r="E347" s="2" t="s">
        <v>1593</v>
      </c>
      <c r="F347" s="2" t="s">
        <v>2222</v>
      </c>
      <c r="G347" s="5" t="n">
        <v>46197</v>
      </c>
      <c r="H347" s="5" t="n">
        <v>46197</v>
      </c>
      <c r="I347" s="2" t="n">
        <v>0</v>
      </c>
      <c r="J347" s="2" t="s">
        <v>41</v>
      </c>
      <c r="K347" s="6" t="n">
        <v>-283000</v>
      </c>
      <c r="L347" s="2" t="s">
        <v>1596</v>
      </c>
      <c r="M347" s="2"/>
      <c r="N347" s="2"/>
      <c r="O347" s="7" t="b">
        <f aca="false">FALSE()</f>
        <v>0</v>
      </c>
      <c r="P347" s="2" t="n">
        <v>98</v>
      </c>
      <c r="Q347" s="2" t="s">
        <v>2201</v>
      </c>
      <c r="R347" s="2"/>
    </row>
    <row r="348" customFormat="false" ht="15" hidden="false" customHeight="false" outlineLevel="0" collapsed="false">
      <c r="A348" s="2" t="s">
        <v>1562</v>
      </c>
      <c r="B348" s="2" t="s">
        <v>1563</v>
      </c>
      <c r="C348" s="2" t="s">
        <v>2220</v>
      </c>
      <c r="D348" s="2" t="s">
        <v>2275</v>
      </c>
      <c r="E348" s="2" t="s">
        <v>1597</v>
      </c>
      <c r="F348" s="2" t="s">
        <v>2197</v>
      </c>
      <c r="G348" s="5" t="n">
        <v>46205</v>
      </c>
      <c r="H348" s="5" t="n">
        <v>46235</v>
      </c>
      <c r="I348" s="2" t="n">
        <v>30</v>
      </c>
      <c r="J348" s="2" t="s">
        <v>41</v>
      </c>
      <c r="K348" s="6" t="n">
        <v>15340</v>
      </c>
      <c r="L348" s="2" t="s">
        <v>1596</v>
      </c>
      <c r="M348" s="2"/>
      <c r="N348" s="2"/>
      <c r="O348" s="7" t="b">
        <f aca="false">FALSE()</f>
        <v>0</v>
      </c>
      <c r="P348" s="2" t="n">
        <v>60</v>
      </c>
      <c r="Q348" s="2" t="s">
        <v>2205</v>
      </c>
      <c r="R348" s="2" t="s">
        <v>2200</v>
      </c>
    </row>
    <row r="349" customFormat="false" ht="15" hidden="false" customHeight="false" outlineLevel="0" collapsed="false">
      <c r="A349" s="2" t="s">
        <v>1562</v>
      </c>
      <c r="B349" s="2" t="s">
        <v>1563</v>
      </c>
      <c r="C349" s="2" t="s">
        <v>2220</v>
      </c>
      <c r="D349" s="2" t="s">
        <v>2275</v>
      </c>
      <c r="E349" s="2" t="s">
        <v>1599</v>
      </c>
      <c r="F349" s="2" t="s">
        <v>2197</v>
      </c>
      <c r="G349" s="5" t="n">
        <v>46210</v>
      </c>
      <c r="H349" s="5" t="n">
        <v>46240</v>
      </c>
      <c r="I349" s="2" t="n">
        <v>30</v>
      </c>
      <c r="J349" s="2" t="s">
        <v>41</v>
      </c>
      <c r="K349" s="6" t="n">
        <v>95571.43</v>
      </c>
      <c r="L349" s="2" t="s">
        <v>1596</v>
      </c>
      <c r="M349" s="2" t="s">
        <v>1601</v>
      </c>
      <c r="N349" s="2"/>
      <c r="O349" s="7" t="b">
        <f aca="false">FALSE()</f>
        <v>0</v>
      </c>
      <c r="P349" s="2" t="n">
        <v>55</v>
      </c>
      <c r="Q349" s="2" t="s">
        <v>2205</v>
      </c>
      <c r="R349" s="2"/>
    </row>
    <row r="350" customFormat="false" ht="15" hidden="false" customHeight="false" outlineLevel="0" collapsed="false">
      <c r="A350" s="2" t="s">
        <v>1562</v>
      </c>
      <c r="B350" s="2" t="s">
        <v>1563</v>
      </c>
      <c r="C350" s="2" t="s">
        <v>2220</v>
      </c>
      <c r="D350" s="2" t="s">
        <v>2275</v>
      </c>
      <c r="E350" s="2" t="s">
        <v>1602</v>
      </c>
      <c r="F350" s="2" t="s">
        <v>2197</v>
      </c>
      <c r="G350" s="5" t="n">
        <v>46213</v>
      </c>
      <c r="H350" s="5" t="n">
        <v>46243</v>
      </c>
      <c r="I350" s="2" t="n">
        <v>30</v>
      </c>
      <c r="J350" s="2" t="s">
        <v>41</v>
      </c>
      <c r="K350" s="6" t="n">
        <v>88914.05</v>
      </c>
      <c r="L350" s="2" t="s">
        <v>1596</v>
      </c>
      <c r="M350" s="2" t="s">
        <v>1604</v>
      </c>
      <c r="N350" s="2"/>
      <c r="O350" s="7" t="b">
        <f aca="false">FALSE()</f>
        <v>0</v>
      </c>
      <c r="P350" s="2" t="n">
        <v>52</v>
      </c>
      <c r="Q350" s="2" t="s">
        <v>2205</v>
      </c>
      <c r="R350" s="2"/>
    </row>
    <row r="351" customFormat="false" ht="15" hidden="false" customHeight="false" outlineLevel="0" collapsed="false">
      <c r="A351" s="2" t="s">
        <v>1562</v>
      </c>
      <c r="B351" s="2" t="s">
        <v>1563</v>
      </c>
      <c r="C351" s="2" t="s">
        <v>2220</v>
      </c>
      <c r="D351" s="2" t="s">
        <v>2275</v>
      </c>
      <c r="E351" s="2" t="s">
        <v>1606</v>
      </c>
      <c r="F351" s="2" t="s">
        <v>2197</v>
      </c>
      <c r="G351" s="5" t="n">
        <v>46221</v>
      </c>
      <c r="H351" s="5" t="n">
        <v>46251</v>
      </c>
      <c r="I351" s="2" t="n">
        <v>30</v>
      </c>
      <c r="J351" s="2" t="s">
        <v>41</v>
      </c>
      <c r="K351" s="6" t="n">
        <v>75520</v>
      </c>
      <c r="L351" s="2" t="s">
        <v>1596</v>
      </c>
      <c r="M351" s="2" t="s">
        <v>1610</v>
      </c>
      <c r="N351" s="2"/>
      <c r="O351" s="7" t="b">
        <f aca="false">FALSE()</f>
        <v>0</v>
      </c>
      <c r="P351" s="2" t="n">
        <v>44</v>
      </c>
      <c r="Q351" s="2" t="s">
        <v>2205</v>
      </c>
      <c r="R351" s="2"/>
    </row>
    <row r="352" customFormat="false" ht="15" hidden="false" customHeight="false" outlineLevel="0" collapsed="false">
      <c r="A352" s="2" t="s">
        <v>1562</v>
      </c>
      <c r="B352" s="2" t="s">
        <v>1563</v>
      </c>
      <c r="C352" s="2" t="s">
        <v>2220</v>
      </c>
      <c r="D352" s="2" t="s">
        <v>2275</v>
      </c>
      <c r="E352" s="2" t="s">
        <v>1613</v>
      </c>
      <c r="F352" s="2" t="s">
        <v>2197</v>
      </c>
      <c r="G352" s="5" t="n">
        <v>46221</v>
      </c>
      <c r="H352" s="5" t="n">
        <v>46251</v>
      </c>
      <c r="I352" s="2" t="n">
        <v>30</v>
      </c>
      <c r="J352" s="2" t="s">
        <v>41</v>
      </c>
      <c r="K352" s="6" t="n">
        <v>134284</v>
      </c>
      <c r="L352" s="2" t="s">
        <v>1596</v>
      </c>
      <c r="M352" s="2"/>
      <c r="N352" s="2" t="s">
        <v>57</v>
      </c>
      <c r="O352" s="7" t="b">
        <f aca="false">FALSE()</f>
        <v>0</v>
      </c>
      <c r="P352" s="2" t="n">
        <v>44</v>
      </c>
      <c r="Q352" s="2" t="s">
        <v>2205</v>
      </c>
      <c r="R352" s="2" t="s">
        <v>2208</v>
      </c>
    </row>
    <row r="353" customFormat="false" ht="15" hidden="false" customHeight="false" outlineLevel="0" collapsed="false">
      <c r="A353" s="2" t="s">
        <v>1562</v>
      </c>
      <c r="B353" s="2" t="s">
        <v>1563</v>
      </c>
      <c r="C353" s="2" t="s">
        <v>2220</v>
      </c>
      <c r="D353" s="2" t="s">
        <v>2275</v>
      </c>
      <c r="E353" s="2" t="s">
        <v>1611</v>
      </c>
      <c r="F353" s="2" t="s">
        <v>2197</v>
      </c>
      <c r="G353" s="5" t="n">
        <v>46229</v>
      </c>
      <c r="H353" s="5" t="n">
        <v>46289</v>
      </c>
      <c r="I353" s="2" t="n">
        <v>60</v>
      </c>
      <c r="J353" s="2" t="s">
        <v>41</v>
      </c>
      <c r="K353" s="6" t="n">
        <v>9440</v>
      </c>
      <c r="L353" s="2" t="s">
        <v>1596</v>
      </c>
      <c r="M353" s="2" t="s">
        <v>847</v>
      </c>
      <c r="N353" s="2"/>
      <c r="O353" s="7" t="b">
        <f aca="false">FALSE()</f>
        <v>0</v>
      </c>
      <c r="P353" s="2" t="n">
        <v>6</v>
      </c>
      <c r="Q353" s="2" t="s">
        <v>2207</v>
      </c>
      <c r="R353" s="2"/>
    </row>
    <row r="354" customFormat="false" ht="15" hidden="false" customHeight="false" outlineLevel="0" collapsed="false">
      <c r="A354" s="2" t="s">
        <v>1562</v>
      </c>
      <c r="B354" s="2" t="s">
        <v>1563</v>
      </c>
      <c r="C354" s="2" t="s">
        <v>2220</v>
      </c>
      <c r="D354" s="2" t="s">
        <v>2275</v>
      </c>
      <c r="E354" s="2" t="s">
        <v>1615</v>
      </c>
      <c r="F354" s="2" t="s">
        <v>2222</v>
      </c>
      <c r="G354" s="5" t="n">
        <v>46244</v>
      </c>
      <c r="H354" s="5" t="n">
        <v>46244</v>
      </c>
      <c r="I354" s="2" t="n">
        <v>0</v>
      </c>
      <c r="J354" s="2" t="s">
        <v>41</v>
      </c>
      <c r="K354" s="6" t="n">
        <v>-52600</v>
      </c>
      <c r="L354" s="2" t="s">
        <v>1596</v>
      </c>
      <c r="M354" s="2" t="s">
        <v>1618</v>
      </c>
      <c r="N354" s="2"/>
      <c r="O354" s="7" t="b">
        <f aca="false">FALSE()</f>
        <v>0</v>
      </c>
      <c r="P354" s="2" t="n">
        <v>51</v>
      </c>
      <c r="Q354" s="2" t="s">
        <v>2205</v>
      </c>
      <c r="R354" s="2" t="s">
        <v>2223</v>
      </c>
    </row>
    <row r="355" customFormat="false" ht="15" hidden="false" customHeight="false" outlineLevel="0" collapsed="false">
      <c r="A355" s="2" t="s">
        <v>1562</v>
      </c>
      <c r="B355" s="2" t="s">
        <v>1563</v>
      </c>
      <c r="C355" s="2" t="s">
        <v>2220</v>
      </c>
      <c r="D355" s="2" t="s">
        <v>2275</v>
      </c>
      <c r="E355" s="2" t="s">
        <v>1619</v>
      </c>
      <c r="F355" s="2" t="s">
        <v>2197</v>
      </c>
      <c r="G355" s="5" t="n">
        <v>46256</v>
      </c>
      <c r="H355" s="5" t="n">
        <v>46286</v>
      </c>
      <c r="I355" s="2" t="n">
        <v>30</v>
      </c>
      <c r="J355" s="2" t="s">
        <v>41</v>
      </c>
      <c r="K355" s="6" t="n">
        <v>79966.89</v>
      </c>
      <c r="L355" s="2" t="s">
        <v>1596</v>
      </c>
      <c r="M355" s="2" t="s">
        <v>667</v>
      </c>
      <c r="N355" s="2" t="s">
        <v>57</v>
      </c>
      <c r="O355" s="7" t="b">
        <f aca="false">FALSE()</f>
        <v>0</v>
      </c>
      <c r="P355" s="2" t="n">
        <v>9</v>
      </c>
      <c r="Q355" s="2" t="s">
        <v>2207</v>
      </c>
      <c r="R355" s="2"/>
    </row>
    <row r="356" customFormat="false" ht="15" hidden="false" customHeight="false" outlineLevel="0" collapsed="false">
      <c r="A356" s="2" t="s">
        <v>1562</v>
      </c>
      <c r="B356" s="2" t="s">
        <v>1563</v>
      </c>
      <c r="C356" s="2" t="s">
        <v>2220</v>
      </c>
      <c r="D356" s="2" t="s">
        <v>2275</v>
      </c>
      <c r="E356" s="2" t="s">
        <v>2292</v>
      </c>
      <c r="F356" s="2" t="s">
        <v>2197</v>
      </c>
      <c r="G356" s="5" t="n">
        <v>46258</v>
      </c>
      <c r="H356" s="5" t="n">
        <v>46288</v>
      </c>
      <c r="I356" s="2" t="n">
        <v>30</v>
      </c>
      <c r="J356" s="2" t="s">
        <v>41</v>
      </c>
      <c r="K356" s="6" t="n">
        <v>624574</v>
      </c>
      <c r="L356" s="2" t="s">
        <v>1596</v>
      </c>
      <c r="M356" s="2" t="s">
        <v>1627</v>
      </c>
      <c r="N356" s="2"/>
      <c r="O356" s="7" t="b">
        <f aca="false">FALSE()</f>
        <v>0</v>
      </c>
      <c r="P356" s="2" t="n">
        <v>7</v>
      </c>
      <c r="Q356" s="2" t="s">
        <v>2207</v>
      </c>
      <c r="R356" s="2"/>
    </row>
    <row r="357" customFormat="false" ht="15" hidden="false" customHeight="false" outlineLevel="0" collapsed="false">
      <c r="A357" s="2" t="s">
        <v>1562</v>
      </c>
      <c r="B357" s="2" t="s">
        <v>1563</v>
      </c>
      <c r="C357" s="2" t="s">
        <v>2220</v>
      </c>
      <c r="D357" s="2" t="s">
        <v>2275</v>
      </c>
      <c r="E357" s="2" t="s">
        <v>1628</v>
      </c>
      <c r="F357" s="2" t="s">
        <v>2197</v>
      </c>
      <c r="G357" s="5" t="n">
        <v>46267</v>
      </c>
      <c r="H357" s="5" t="n">
        <v>46297</v>
      </c>
      <c r="I357" s="2" t="n">
        <v>30</v>
      </c>
      <c r="J357" s="2" t="s">
        <v>41</v>
      </c>
      <c r="K357" s="6" t="n">
        <v>35400</v>
      </c>
      <c r="L357" s="2" t="s">
        <v>1596</v>
      </c>
      <c r="M357" s="2" t="s">
        <v>1630</v>
      </c>
      <c r="N357" s="2"/>
      <c r="O357" s="7" t="b">
        <f aca="false">FALSE()</f>
        <v>0</v>
      </c>
      <c r="P357" s="2" t="n">
        <v>-2</v>
      </c>
      <c r="Q357" s="2" t="s">
        <v>2209</v>
      </c>
      <c r="R357" s="2"/>
    </row>
    <row r="358" customFormat="false" ht="15" hidden="false" customHeight="false" outlineLevel="0" collapsed="false">
      <c r="A358" s="2" t="s">
        <v>1562</v>
      </c>
      <c r="B358" s="2" t="s">
        <v>1563</v>
      </c>
      <c r="C358" s="2" t="s">
        <v>2220</v>
      </c>
      <c r="D358" s="2" t="s">
        <v>2275</v>
      </c>
      <c r="E358" s="2" t="s">
        <v>1631</v>
      </c>
      <c r="F358" s="2" t="s">
        <v>2197</v>
      </c>
      <c r="G358" s="5" t="n">
        <v>46281</v>
      </c>
      <c r="H358" s="5" t="n">
        <v>46311</v>
      </c>
      <c r="I358" s="2" t="n">
        <v>30</v>
      </c>
      <c r="J358" s="2" t="s">
        <v>41</v>
      </c>
      <c r="K358" s="6" t="n">
        <v>223964</v>
      </c>
      <c r="L358" s="2" t="s">
        <v>137</v>
      </c>
      <c r="M358" s="2" t="s">
        <v>1633</v>
      </c>
      <c r="N358" s="2"/>
      <c r="O358" s="7" t="b">
        <f aca="false">FALSE()</f>
        <v>0</v>
      </c>
      <c r="P358" s="2" t="n">
        <v>-16</v>
      </c>
      <c r="Q358" s="2" t="s">
        <v>2209</v>
      </c>
      <c r="R358" s="2"/>
    </row>
    <row r="359" customFormat="false" ht="15" hidden="false" customHeight="false" outlineLevel="0" collapsed="false">
      <c r="A359" s="2" t="s">
        <v>1562</v>
      </c>
      <c r="B359" s="2" t="s">
        <v>1563</v>
      </c>
      <c r="C359" s="2" t="s">
        <v>2220</v>
      </c>
      <c r="D359" s="2" t="s">
        <v>2275</v>
      </c>
      <c r="E359" s="2" t="s">
        <v>1634</v>
      </c>
      <c r="F359" s="2" t="s">
        <v>2222</v>
      </c>
      <c r="G359" s="5" t="n">
        <v>46289</v>
      </c>
      <c r="H359" s="5" t="n">
        <v>46289</v>
      </c>
      <c r="I359" s="2" t="n">
        <v>0</v>
      </c>
      <c r="J359" s="2" t="s">
        <v>41</v>
      </c>
      <c r="K359" s="6" t="n">
        <v>-49000</v>
      </c>
      <c r="L359" s="2" t="s">
        <v>1596</v>
      </c>
      <c r="M359" s="2" t="s">
        <v>1636</v>
      </c>
      <c r="N359" s="2"/>
      <c r="O359" s="7" t="b">
        <f aca="false">FALSE()</f>
        <v>0</v>
      </c>
      <c r="P359" s="2" t="n">
        <v>6</v>
      </c>
      <c r="Q359" s="2" t="s">
        <v>2207</v>
      </c>
      <c r="R359" s="2" t="s">
        <v>2223</v>
      </c>
    </row>
    <row r="360" customFormat="false" ht="15" hidden="false" customHeight="false" outlineLevel="0" collapsed="false">
      <c r="A360" s="2" t="s">
        <v>1562</v>
      </c>
      <c r="B360" s="2" t="s">
        <v>1563</v>
      </c>
      <c r="C360" s="2" t="s">
        <v>2220</v>
      </c>
      <c r="D360" s="2" t="s">
        <v>2275</v>
      </c>
      <c r="E360" s="2" t="s">
        <v>1637</v>
      </c>
      <c r="F360" s="2" t="s">
        <v>2197</v>
      </c>
      <c r="G360" s="5" t="n">
        <v>46290</v>
      </c>
      <c r="H360" s="5" t="n">
        <v>46305</v>
      </c>
      <c r="I360" s="2" t="n">
        <v>15</v>
      </c>
      <c r="J360" s="2" t="s">
        <v>41</v>
      </c>
      <c r="K360" s="6" t="n">
        <v>194951.72</v>
      </c>
      <c r="L360" s="2" t="s">
        <v>1596</v>
      </c>
      <c r="M360" s="2"/>
      <c r="N360" s="2"/>
      <c r="O360" s="7" t="b">
        <f aca="false">FALSE()</f>
        <v>0</v>
      </c>
      <c r="P360" s="2" t="n">
        <v>-10</v>
      </c>
      <c r="Q360" s="2" t="s">
        <v>2209</v>
      </c>
      <c r="R360" s="2"/>
    </row>
    <row r="361" customFormat="false" ht="15" hidden="false" customHeight="false" outlineLevel="0" collapsed="false">
      <c r="A361" s="2" t="s">
        <v>1562</v>
      </c>
      <c r="B361" s="2" t="s">
        <v>1563</v>
      </c>
      <c r="C361" s="2" t="s">
        <v>2220</v>
      </c>
      <c r="D361" s="2" t="s">
        <v>2275</v>
      </c>
      <c r="E361" s="2" t="s">
        <v>1644</v>
      </c>
      <c r="F361" s="2" t="s">
        <v>2222</v>
      </c>
      <c r="G361" s="5" t="n">
        <v>46292</v>
      </c>
      <c r="H361" s="5" t="n">
        <v>46292</v>
      </c>
      <c r="I361" s="2" t="n">
        <v>0</v>
      </c>
      <c r="J361" s="2" t="s">
        <v>41</v>
      </c>
      <c r="K361" s="6" t="n">
        <v>-213200</v>
      </c>
      <c r="L361" s="2" t="s">
        <v>1596</v>
      </c>
      <c r="M361" s="2" t="s">
        <v>1647</v>
      </c>
      <c r="N361" s="2"/>
      <c r="O361" s="7" t="b">
        <f aca="false">FALSE()</f>
        <v>0</v>
      </c>
      <c r="P361" s="2" t="n">
        <v>3</v>
      </c>
      <c r="Q361" s="2" t="s">
        <v>2207</v>
      </c>
      <c r="R361" s="2"/>
    </row>
    <row r="362" customFormat="false" ht="15" hidden="false" customHeight="false" outlineLevel="0" collapsed="false">
      <c r="A362" s="2" t="s">
        <v>1562</v>
      </c>
      <c r="B362" s="2" t="s">
        <v>1563</v>
      </c>
      <c r="C362" s="2" t="s">
        <v>2220</v>
      </c>
      <c r="D362" s="2" t="s">
        <v>2275</v>
      </c>
      <c r="E362" s="2" t="s">
        <v>1641</v>
      </c>
      <c r="F362" s="2" t="s">
        <v>2212</v>
      </c>
      <c r="G362" s="5" t="n">
        <v>46294</v>
      </c>
      <c r="H362" s="5" t="n">
        <v>46294</v>
      </c>
      <c r="I362" s="2" t="n">
        <v>0</v>
      </c>
      <c r="J362" s="2" t="s">
        <v>41</v>
      </c>
      <c r="K362" s="6" t="n">
        <v>-74388.53</v>
      </c>
      <c r="L362" s="2" t="s">
        <v>1596</v>
      </c>
      <c r="M362" s="2"/>
      <c r="N362" s="2"/>
      <c r="O362" s="7" t="b">
        <f aca="false">FALSE()</f>
        <v>0</v>
      </c>
      <c r="P362" s="2" t="n">
        <v>1</v>
      </c>
      <c r="Q362" s="2" t="s">
        <v>2207</v>
      </c>
      <c r="R362" s="2"/>
    </row>
    <row r="363" customFormat="false" ht="15" hidden="false" customHeight="false" outlineLevel="0" collapsed="false">
      <c r="A363" s="2" t="s">
        <v>1649</v>
      </c>
      <c r="B363" s="2" t="s">
        <v>2293</v>
      </c>
      <c r="C363" s="2" t="s">
        <v>2210</v>
      </c>
      <c r="D363" s="2" t="s">
        <v>2215</v>
      </c>
      <c r="E363" s="2" t="s">
        <v>1651</v>
      </c>
      <c r="F363" s="2" t="s">
        <v>2197</v>
      </c>
      <c r="G363" s="5" t="n">
        <v>46222</v>
      </c>
      <c r="H363" s="5" t="n">
        <v>46267</v>
      </c>
      <c r="I363" s="2" t="n">
        <v>45</v>
      </c>
      <c r="J363" s="2" t="s">
        <v>41</v>
      </c>
      <c r="K363" s="6" t="n">
        <v>15717.8</v>
      </c>
      <c r="L363" s="2" t="s">
        <v>137</v>
      </c>
      <c r="M363" s="2" t="s">
        <v>1653</v>
      </c>
      <c r="N363" s="2"/>
      <c r="O363" s="7" t="b">
        <f aca="false">FALSE()</f>
        <v>0</v>
      </c>
      <c r="P363" s="2" t="n">
        <v>28</v>
      </c>
      <c r="Q363" s="2" t="s">
        <v>2207</v>
      </c>
      <c r="R363" s="2" t="s">
        <v>2202</v>
      </c>
    </row>
    <row r="364" customFormat="false" ht="15" hidden="false" customHeight="false" outlineLevel="0" collapsed="false">
      <c r="A364" s="2" t="s">
        <v>1649</v>
      </c>
      <c r="B364" s="2" t="s">
        <v>2293</v>
      </c>
      <c r="C364" s="2" t="s">
        <v>2210</v>
      </c>
      <c r="D364" s="2" t="s">
        <v>2215</v>
      </c>
      <c r="E364" s="2" t="s">
        <v>1654</v>
      </c>
      <c r="F364" s="2" t="s">
        <v>2197</v>
      </c>
      <c r="G364" s="5" t="n">
        <v>46264</v>
      </c>
      <c r="H364" s="5" t="n">
        <v>46309</v>
      </c>
      <c r="I364" s="2" t="n">
        <v>45</v>
      </c>
      <c r="J364" s="2" t="s">
        <v>41</v>
      </c>
      <c r="K364" s="6" t="n">
        <v>37878</v>
      </c>
      <c r="L364" s="2" t="s">
        <v>137</v>
      </c>
      <c r="M364" s="2" t="s">
        <v>1658</v>
      </c>
      <c r="N364" s="2"/>
      <c r="O364" s="7" t="b">
        <f aca="false">FALSE()</f>
        <v>0</v>
      </c>
      <c r="P364" s="2" t="n">
        <v>-14</v>
      </c>
      <c r="Q364" s="2" t="s">
        <v>2209</v>
      </c>
      <c r="R364" s="2"/>
    </row>
    <row r="365" customFormat="false" ht="15" hidden="false" customHeight="false" outlineLevel="0" collapsed="false">
      <c r="A365" s="2" t="s">
        <v>1660</v>
      </c>
      <c r="B365" s="2" t="s">
        <v>1661</v>
      </c>
      <c r="C365" s="2" t="s">
        <v>2220</v>
      </c>
      <c r="D365" s="2" t="s">
        <v>2224</v>
      </c>
      <c r="E365" s="2" t="s">
        <v>1662</v>
      </c>
      <c r="F365" s="2" t="s">
        <v>2197</v>
      </c>
      <c r="G365" s="5" t="n">
        <v>46153</v>
      </c>
      <c r="H365" s="5" t="n">
        <v>46183</v>
      </c>
      <c r="I365" s="2" t="n">
        <v>30</v>
      </c>
      <c r="J365" s="2" t="s">
        <v>41</v>
      </c>
      <c r="K365" s="6" t="n">
        <v>62608</v>
      </c>
      <c r="L365" s="2" t="s">
        <v>502</v>
      </c>
      <c r="M365" s="2" t="s">
        <v>1666</v>
      </c>
      <c r="N365" s="2" t="s">
        <v>624</v>
      </c>
      <c r="O365" s="7" t="b">
        <f aca="false">TRUE()</f>
        <v>1</v>
      </c>
      <c r="P365" s="2" t="n">
        <v>112</v>
      </c>
      <c r="Q365" s="2" t="s">
        <v>2201</v>
      </c>
      <c r="R365" s="2"/>
    </row>
    <row r="366" customFormat="false" ht="15" hidden="false" customHeight="false" outlineLevel="0" collapsed="false">
      <c r="A366" s="2" t="s">
        <v>1660</v>
      </c>
      <c r="B366" s="2" t="s">
        <v>1661</v>
      </c>
      <c r="C366" s="2" t="s">
        <v>2220</v>
      </c>
      <c r="D366" s="2" t="s">
        <v>2224</v>
      </c>
      <c r="E366" s="2" t="s">
        <v>1667</v>
      </c>
      <c r="F366" s="2" t="s">
        <v>2197</v>
      </c>
      <c r="G366" s="5" t="n">
        <v>46227</v>
      </c>
      <c r="H366" s="5" t="n">
        <v>46272</v>
      </c>
      <c r="I366" s="2" t="n">
        <v>45</v>
      </c>
      <c r="J366" s="2" t="s">
        <v>41</v>
      </c>
      <c r="K366" s="6" t="n">
        <v>34220</v>
      </c>
      <c r="L366" s="2" t="s">
        <v>43</v>
      </c>
      <c r="M366" s="2"/>
      <c r="N366" s="2"/>
      <c r="O366" s="7" t="b">
        <f aca="false">FALSE()</f>
        <v>0</v>
      </c>
      <c r="P366" s="2" t="n">
        <v>23</v>
      </c>
      <c r="Q366" s="2" t="s">
        <v>2207</v>
      </c>
      <c r="R366" s="2"/>
    </row>
    <row r="367" customFormat="false" ht="15" hidden="false" customHeight="false" outlineLevel="0" collapsed="false">
      <c r="A367" s="2" t="s">
        <v>1660</v>
      </c>
      <c r="B367" s="2" t="s">
        <v>1661</v>
      </c>
      <c r="C367" s="2" t="s">
        <v>2220</v>
      </c>
      <c r="D367" s="2" t="s">
        <v>2224</v>
      </c>
      <c r="E367" s="2" t="s">
        <v>1668</v>
      </c>
      <c r="F367" s="2" t="s">
        <v>2197</v>
      </c>
      <c r="G367" s="5" t="n">
        <v>46295</v>
      </c>
      <c r="H367" s="5" t="n">
        <v>46340</v>
      </c>
      <c r="I367" s="2" t="n">
        <v>45</v>
      </c>
      <c r="J367" s="2" t="s">
        <v>41</v>
      </c>
      <c r="K367" s="6" t="n">
        <v>158002</v>
      </c>
      <c r="L367" s="2" t="s">
        <v>502</v>
      </c>
      <c r="M367" s="2" t="s">
        <v>667</v>
      </c>
      <c r="N367" s="2"/>
      <c r="O367" s="7" t="b">
        <f aca="false">FALSE()</f>
        <v>0</v>
      </c>
      <c r="P367" s="2" t="n">
        <v>-45</v>
      </c>
      <c r="Q367" s="2" t="s">
        <v>2209</v>
      </c>
      <c r="R367" s="2"/>
    </row>
    <row r="368" customFormat="false" ht="15" hidden="false" customHeight="false" outlineLevel="0" collapsed="false">
      <c r="A368" s="2" t="s">
        <v>2294</v>
      </c>
      <c r="B368" s="2" t="s">
        <v>1673</v>
      </c>
      <c r="C368" s="2" t="s">
        <v>2210</v>
      </c>
      <c r="D368" s="2" t="s">
        <v>2227</v>
      </c>
      <c r="E368" s="2" t="s">
        <v>2295</v>
      </c>
      <c r="F368" s="2" t="s">
        <v>2197</v>
      </c>
      <c r="G368" s="5" t="n">
        <v>46168</v>
      </c>
      <c r="H368" s="5" t="n">
        <v>46213</v>
      </c>
      <c r="I368" s="2" t="n">
        <v>45</v>
      </c>
      <c r="J368" s="2" t="s">
        <v>41</v>
      </c>
      <c r="K368" s="6" t="n">
        <v>119180</v>
      </c>
      <c r="L368" s="2" t="s">
        <v>502</v>
      </c>
      <c r="M368" s="2" t="s">
        <v>1676</v>
      </c>
      <c r="N368" s="2"/>
      <c r="O368" s="7" t="b">
        <f aca="false">FALSE()</f>
        <v>0</v>
      </c>
      <c r="P368" s="2" t="n">
        <v>82</v>
      </c>
      <c r="Q368" s="2" t="s">
        <v>2203</v>
      </c>
      <c r="R368" s="2"/>
    </row>
    <row r="369" customFormat="false" ht="15" hidden="false" customHeight="false" outlineLevel="0" collapsed="false">
      <c r="A369" s="2" t="s">
        <v>2294</v>
      </c>
      <c r="B369" s="2" t="s">
        <v>1673</v>
      </c>
      <c r="C369" s="2" t="s">
        <v>2210</v>
      </c>
      <c r="D369" s="2" t="s">
        <v>2227</v>
      </c>
      <c r="E369" s="2" t="s">
        <v>1677</v>
      </c>
      <c r="F369" s="2" t="s">
        <v>2222</v>
      </c>
      <c r="G369" s="5" t="n">
        <v>46251</v>
      </c>
      <c r="H369" s="5" t="n">
        <v>46251</v>
      </c>
      <c r="I369" s="2" t="n">
        <v>0</v>
      </c>
      <c r="J369" s="2" t="s">
        <v>41</v>
      </c>
      <c r="K369" s="6" t="n">
        <v>-68200</v>
      </c>
      <c r="L369" s="2" t="s">
        <v>502</v>
      </c>
      <c r="M369" s="2" t="s">
        <v>1679</v>
      </c>
      <c r="N369" s="2"/>
      <c r="O369" s="7" t="b">
        <f aca="false">FALSE()</f>
        <v>0</v>
      </c>
      <c r="P369" s="2" t="n">
        <v>44</v>
      </c>
      <c r="Q369" s="2" t="s">
        <v>2205</v>
      </c>
      <c r="R369" s="2" t="s">
        <v>2223</v>
      </c>
    </row>
    <row r="370" customFormat="false" ht="15" hidden="false" customHeight="false" outlineLevel="0" collapsed="false">
      <c r="A370" s="2" t="s">
        <v>2294</v>
      </c>
      <c r="B370" s="2" t="s">
        <v>1673</v>
      </c>
      <c r="C370" s="2" t="s">
        <v>2210</v>
      </c>
      <c r="D370" s="2" t="s">
        <v>2227</v>
      </c>
      <c r="E370" s="2" t="s">
        <v>1680</v>
      </c>
      <c r="F370" s="2" t="s">
        <v>2197</v>
      </c>
      <c r="G370" s="5" t="n">
        <v>46253</v>
      </c>
      <c r="H370" s="5" t="n">
        <v>46298</v>
      </c>
      <c r="I370" s="2" t="n">
        <v>45</v>
      </c>
      <c r="J370" s="2" t="s">
        <v>41</v>
      </c>
      <c r="K370" s="6" t="n">
        <v>37586.84</v>
      </c>
      <c r="L370" s="2" t="s">
        <v>502</v>
      </c>
      <c r="M370" s="2" t="s">
        <v>1683</v>
      </c>
      <c r="N370" s="2"/>
      <c r="O370" s="7" t="b">
        <f aca="false">FALSE()</f>
        <v>0</v>
      </c>
      <c r="P370" s="2" t="n">
        <v>-3</v>
      </c>
      <c r="Q370" s="2" t="s">
        <v>2209</v>
      </c>
      <c r="R370" s="2"/>
    </row>
    <row r="371" customFormat="false" ht="15" hidden="false" customHeight="false" outlineLevel="0" collapsed="false">
      <c r="A371" s="2" t="s">
        <v>2294</v>
      </c>
      <c r="B371" s="2" t="s">
        <v>1673</v>
      </c>
      <c r="C371" s="2" t="s">
        <v>2210</v>
      </c>
      <c r="D371" s="2" t="s">
        <v>2227</v>
      </c>
      <c r="E371" s="2" t="s">
        <v>1684</v>
      </c>
      <c r="F371" s="2" t="s">
        <v>2197</v>
      </c>
      <c r="G371" s="5" t="n">
        <v>46255</v>
      </c>
      <c r="H371" s="5" t="n">
        <v>46300</v>
      </c>
      <c r="I371" s="2" t="n">
        <v>45</v>
      </c>
      <c r="J371" s="2" t="s">
        <v>41</v>
      </c>
      <c r="K371" s="6" t="n">
        <v>25606</v>
      </c>
      <c r="L371" s="2" t="s">
        <v>502</v>
      </c>
      <c r="M371" s="2" t="s">
        <v>1688</v>
      </c>
      <c r="N371" s="2"/>
      <c r="O371" s="7" t="b">
        <f aca="false">FALSE()</f>
        <v>0</v>
      </c>
      <c r="P371" s="2" t="n">
        <v>-5</v>
      </c>
      <c r="Q371" s="2" t="s">
        <v>2209</v>
      </c>
      <c r="R371" s="2"/>
    </row>
    <row r="372" customFormat="false" ht="15" hidden="false" customHeight="false" outlineLevel="0" collapsed="false">
      <c r="A372" s="2" t="s">
        <v>2294</v>
      </c>
      <c r="B372" s="2" t="s">
        <v>1673</v>
      </c>
      <c r="C372" s="2" t="s">
        <v>2210</v>
      </c>
      <c r="D372" s="2" t="s">
        <v>2227</v>
      </c>
      <c r="E372" s="2" t="s">
        <v>2296</v>
      </c>
      <c r="F372" s="2" t="s">
        <v>2197</v>
      </c>
      <c r="G372" s="5" t="n">
        <v>46263</v>
      </c>
      <c r="H372" s="5" t="n">
        <v>46308</v>
      </c>
      <c r="I372" s="2" t="n">
        <v>45</v>
      </c>
      <c r="J372" s="2" t="s">
        <v>41</v>
      </c>
      <c r="K372" s="6" t="n">
        <v>166320</v>
      </c>
      <c r="L372" s="2" t="s">
        <v>502</v>
      </c>
      <c r="M372" s="2" t="s">
        <v>1691</v>
      </c>
      <c r="N372" s="2"/>
      <c r="O372" s="7" t="b">
        <f aca="false">FALSE()</f>
        <v>0</v>
      </c>
      <c r="P372" s="2" t="n">
        <v>-13</v>
      </c>
      <c r="Q372" s="2" t="s">
        <v>2209</v>
      </c>
      <c r="R372" s="2"/>
    </row>
    <row r="373" customFormat="false" ht="15" hidden="false" customHeight="false" outlineLevel="0" collapsed="false">
      <c r="A373" s="2" t="s">
        <v>2294</v>
      </c>
      <c r="B373" s="2" t="s">
        <v>1673</v>
      </c>
      <c r="C373" s="2" t="s">
        <v>2210</v>
      </c>
      <c r="D373" s="2" t="s">
        <v>2227</v>
      </c>
      <c r="E373" s="2" t="s">
        <v>1692</v>
      </c>
      <c r="F373" s="2" t="s">
        <v>2197</v>
      </c>
      <c r="G373" s="5" t="n">
        <v>46263</v>
      </c>
      <c r="H373" s="5" t="n">
        <v>46323</v>
      </c>
      <c r="I373" s="2" t="n">
        <v>60</v>
      </c>
      <c r="J373" s="2" t="s">
        <v>41</v>
      </c>
      <c r="K373" s="6" t="n">
        <v>58503.88</v>
      </c>
      <c r="L373" s="2" t="s">
        <v>502</v>
      </c>
      <c r="M373" s="2" t="s">
        <v>1694</v>
      </c>
      <c r="N373" s="2"/>
      <c r="O373" s="7" t="b">
        <f aca="false">FALSE()</f>
        <v>0</v>
      </c>
      <c r="P373" s="2" t="n">
        <v>-28</v>
      </c>
      <c r="Q373" s="2" t="s">
        <v>2209</v>
      </c>
      <c r="R373" s="2"/>
    </row>
    <row r="374" customFormat="false" ht="15" hidden="false" customHeight="false" outlineLevel="0" collapsed="false">
      <c r="A374" s="2" t="s">
        <v>2294</v>
      </c>
      <c r="B374" s="2" t="s">
        <v>1673</v>
      </c>
      <c r="C374" s="2" t="s">
        <v>2210</v>
      </c>
      <c r="D374" s="2" t="s">
        <v>2227</v>
      </c>
      <c r="E374" s="2" t="s">
        <v>1695</v>
      </c>
      <c r="F374" s="2" t="s">
        <v>2197</v>
      </c>
      <c r="G374" s="5" t="n">
        <v>46295</v>
      </c>
      <c r="H374" s="5" t="n">
        <v>46340</v>
      </c>
      <c r="I374" s="2" t="n">
        <v>45</v>
      </c>
      <c r="J374" s="2" t="s">
        <v>41</v>
      </c>
      <c r="K374" s="6" t="n">
        <v>96705</v>
      </c>
      <c r="L374" s="2" t="s">
        <v>502</v>
      </c>
      <c r="M374" s="2"/>
      <c r="N374" s="2"/>
      <c r="O374" s="7" t="b">
        <f aca="false">FALSE()</f>
        <v>0</v>
      </c>
      <c r="P374" s="2" t="n">
        <v>-45</v>
      </c>
      <c r="Q374" s="2" t="s">
        <v>2209</v>
      </c>
      <c r="R374" s="2"/>
    </row>
    <row r="375" customFormat="false" ht="15" hidden="false" customHeight="false" outlineLevel="0" collapsed="false">
      <c r="A375" s="2" t="s">
        <v>1698</v>
      </c>
      <c r="B375" s="2" t="s">
        <v>1699</v>
      </c>
      <c r="C375" s="2" t="s">
        <v>2214</v>
      </c>
      <c r="D375" s="2" t="s">
        <v>2250</v>
      </c>
      <c r="E375" s="2" t="s">
        <v>1703</v>
      </c>
      <c r="F375" s="2" t="s">
        <v>2197</v>
      </c>
      <c r="G375" s="5" t="n">
        <v>46026</v>
      </c>
      <c r="H375" s="5" t="n">
        <v>46086</v>
      </c>
      <c r="I375" s="2" t="n">
        <v>60</v>
      </c>
      <c r="J375" s="2" t="s">
        <v>41</v>
      </c>
      <c r="K375" s="6" t="n">
        <v>184800</v>
      </c>
      <c r="L375" s="2" t="s">
        <v>162</v>
      </c>
      <c r="M375" s="2" t="s">
        <v>1707</v>
      </c>
      <c r="N375" s="2"/>
      <c r="O375" s="7" t="b">
        <f aca="false">FALSE()</f>
        <v>0</v>
      </c>
      <c r="P375" s="2" t="n">
        <v>209</v>
      </c>
      <c r="Q375" s="2" t="s">
        <v>2198</v>
      </c>
      <c r="R375" s="2"/>
    </row>
    <row r="376" customFormat="false" ht="15" hidden="false" customHeight="false" outlineLevel="0" collapsed="false">
      <c r="A376" s="2" t="s">
        <v>1698</v>
      </c>
      <c r="B376" s="2" t="s">
        <v>1699</v>
      </c>
      <c r="C376" s="2" t="s">
        <v>2214</v>
      </c>
      <c r="D376" s="2" t="s">
        <v>2250</v>
      </c>
      <c r="E376" s="2" t="s">
        <v>1700</v>
      </c>
      <c r="F376" s="2" t="s">
        <v>2197</v>
      </c>
      <c r="G376" s="5" t="n">
        <v>46106</v>
      </c>
      <c r="H376" s="5" t="n">
        <v>46166</v>
      </c>
      <c r="I376" s="2" t="n">
        <v>60</v>
      </c>
      <c r="J376" s="2" t="s">
        <v>41</v>
      </c>
      <c r="K376" s="6" t="n">
        <v>137872</v>
      </c>
      <c r="L376" s="2" t="s">
        <v>162</v>
      </c>
      <c r="M376" s="2" t="s">
        <v>1702</v>
      </c>
      <c r="N376" s="2"/>
      <c r="O376" s="7" t="b">
        <f aca="false">FALSE()</f>
        <v>0</v>
      </c>
      <c r="P376" s="2" t="n">
        <v>129</v>
      </c>
      <c r="Q376" s="2" t="s">
        <v>2201</v>
      </c>
      <c r="R376" s="2"/>
    </row>
    <row r="377" customFormat="false" ht="15" hidden="false" customHeight="false" outlineLevel="0" collapsed="false">
      <c r="A377" s="2" t="s">
        <v>1698</v>
      </c>
      <c r="B377" s="2" t="s">
        <v>1699</v>
      </c>
      <c r="C377" s="2" t="s">
        <v>2214</v>
      </c>
      <c r="D377" s="2" t="s">
        <v>2250</v>
      </c>
      <c r="E377" s="2" t="s">
        <v>1708</v>
      </c>
      <c r="F377" s="2" t="s">
        <v>2197</v>
      </c>
      <c r="G377" s="5" t="n">
        <v>46198</v>
      </c>
      <c r="H377" s="5" t="n">
        <v>46258</v>
      </c>
      <c r="I377" s="2" t="n">
        <v>60</v>
      </c>
      <c r="J377" s="2" t="s">
        <v>41</v>
      </c>
      <c r="K377" s="6" t="n">
        <v>54870</v>
      </c>
      <c r="L377" s="2" t="s">
        <v>162</v>
      </c>
      <c r="M377" s="2" t="s">
        <v>1710</v>
      </c>
      <c r="N377" s="2"/>
      <c r="O377" s="7" t="b">
        <f aca="false">FALSE()</f>
        <v>0</v>
      </c>
      <c r="P377" s="2" t="n">
        <v>37</v>
      </c>
      <c r="Q377" s="2" t="s">
        <v>2205</v>
      </c>
      <c r="R377" s="2" t="s">
        <v>2208</v>
      </c>
    </row>
    <row r="378" customFormat="false" ht="15" hidden="false" customHeight="false" outlineLevel="0" collapsed="false">
      <c r="A378" s="2" t="s">
        <v>1698</v>
      </c>
      <c r="B378" s="2" t="s">
        <v>1699</v>
      </c>
      <c r="C378" s="2" t="s">
        <v>2214</v>
      </c>
      <c r="D378" s="2" t="s">
        <v>2250</v>
      </c>
      <c r="E378" s="2" t="s">
        <v>2297</v>
      </c>
      <c r="F378" s="2" t="s">
        <v>2197</v>
      </c>
      <c r="G378" s="5" t="n">
        <v>46254</v>
      </c>
      <c r="H378" s="5" t="n">
        <v>46314</v>
      </c>
      <c r="I378" s="2" t="n">
        <v>60</v>
      </c>
      <c r="J378" s="2" t="s">
        <v>41</v>
      </c>
      <c r="K378" s="6" t="n">
        <v>25960</v>
      </c>
      <c r="L378" s="2" t="s">
        <v>162</v>
      </c>
      <c r="M378" s="2" t="s">
        <v>1715</v>
      </c>
      <c r="N378" s="2"/>
      <c r="O378" s="7" t="b">
        <f aca="false">FALSE()</f>
        <v>0</v>
      </c>
      <c r="P378" s="2" t="n">
        <v>-19</v>
      </c>
      <c r="Q378" s="2" t="s">
        <v>2209</v>
      </c>
      <c r="R378" s="2"/>
    </row>
    <row r="379" customFormat="false" ht="15" hidden="false" customHeight="false" outlineLevel="0" collapsed="false">
      <c r="A379" s="2" t="s">
        <v>1698</v>
      </c>
      <c r="B379" s="2" t="s">
        <v>1699</v>
      </c>
      <c r="C379" s="2" t="s">
        <v>2214</v>
      </c>
      <c r="D379" s="2" t="s">
        <v>2250</v>
      </c>
      <c r="E379" s="2" t="s">
        <v>1716</v>
      </c>
      <c r="F379" s="2" t="s">
        <v>2197</v>
      </c>
      <c r="G379" s="5" t="n">
        <v>46269</v>
      </c>
      <c r="H379" s="5" t="n">
        <v>46329</v>
      </c>
      <c r="I379" s="2" t="n">
        <v>60</v>
      </c>
      <c r="J379" s="2" t="s">
        <v>41</v>
      </c>
      <c r="K379" s="6" t="n">
        <v>8464.4</v>
      </c>
      <c r="L379" s="2" t="s">
        <v>162</v>
      </c>
      <c r="M379" s="2" t="s">
        <v>307</v>
      </c>
      <c r="N379" s="2"/>
      <c r="O379" s="7" t="b">
        <f aca="false">FALSE()</f>
        <v>0</v>
      </c>
      <c r="P379" s="2" t="n">
        <v>-34</v>
      </c>
      <c r="Q379" s="2" t="s">
        <v>2209</v>
      </c>
      <c r="R379" s="2"/>
    </row>
    <row r="380" customFormat="false" ht="15" hidden="false" customHeight="false" outlineLevel="0" collapsed="false">
      <c r="A380" s="2" t="s">
        <v>1698</v>
      </c>
      <c r="B380" s="2" t="s">
        <v>1699</v>
      </c>
      <c r="C380" s="2" t="s">
        <v>2214</v>
      </c>
      <c r="D380" s="2" t="s">
        <v>2250</v>
      </c>
      <c r="E380" s="2" t="s">
        <v>1722</v>
      </c>
      <c r="F380" s="2" t="s">
        <v>2206</v>
      </c>
      <c r="G380" s="5" t="n">
        <v>46271</v>
      </c>
      <c r="H380" s="5" t="n">
        <v>46331</v>
      </c>
      <c r="I380" s="2" t="n">
        <v>60</v>
      </c>
      <c r="J380" s="2" t="s">
        <v>41</v>
      </c>
      <c r="K380" s="6" t="n">
        <v>10016.6</v>
      </c>
      <c r="L380" s="2" t="s">
        <v>162</v>
      </c>
      <c r="M380" s="2"/>
      <c r="N380" s="2"/>
      <c r="O380" s="7" t="b">
        <f aca="false">FALSE()</f>
        <v>0</v>
      </c>
      <c r="P380" s="2" t="n">
        <v>-36</v>
      </c>
      <c r="Q380" s="2" t="s">
        <v>2209</v>
      </c>
      <c r="R380" s="2"/>
    </row>
    <row r="381" customFormat="false" ht="15" hidden="false" customHeight="false" outlineLevel="0" collapsed="false">
      <c r="A381" s="2" t="s">
        <v>1698</v>
      </c>
      <c r="B381" s="2" t="s">
        <v>1699</v>
      </c>
      <c r="C381" s="2" t="s">
        <v>2214</v>
      </c>
      <c r="D381" s="2" t="s">
        <v>2250</v>
      </c>
      <c r="E381" s="2" t="s">
        <v>1720</v>
      </c>
      <c r="F381" s="2" t="s">
        <v>2212</v>
      </c>
      <c r="G381" s="5" t="n">
        <v>46283</v>
      </c>
      <c r="H381" s="5" t="n">
        <v>46283</v>
      </c>
      <c r="I381" s="2" t="n">
        <v>0</v>
      </c>
      <c r="J381" s="2" t="s">
        <v>41</v>
      </c>
      <c r="K381" s="6" t="n">
        <v>-50090.6</v>
      </c>
      <c r="L381" s="2" t="s">
        <v>162</v>
      </c>
      <c r="M381" s="2" t="s">
        <v>690</v>
      </c>
      <c r="N381" s="2"/>
      <c r="O381" s="7" t="b">
        <f aca="false">FALSE()</f>
        <v>0</v>
      </c>
      <c r="P381" s="2" t="n">
        <v>12</v>
      </c>
      <c r="Q381" s="2" t="s">
        <v>2207</v>
      </c>
      <c r="R381" s="2" t="s">
        <v>2223</v>
      </c>
    </row>
    <row r="382" customFormat="false" ht="15" hidden="false" customHeight="false" outlineLevel="0" collapsed="false">
      <c r="A382" s="2" t="s">
        <v>1698</v>
      </c>
      <c r="B382" s="2" t="s">
        <v>1699</v>
      </c>
      <c r="C382" s="2" t="s">
        <v>2214</v>
      </c>
      <c r="D382" s="2" t="s">
        <v>2250</v>
      </c>
      <c r="E382" s="2" t="s">
        <v>1725</v>
      </c>
      <c r="F382" s="2" t="s">
        <v>2197</v>
      </c>
      <c r="G382" s="5" t="n">
        <v>46289</v>
      </c>
      <c r="H382" s="5" t="n">
        <v>46349</v>
      </c>
      <c r="I382" s="2" t="n">
        <v>60</v>
      </c>
      <c r="J382" s="2" t="s">
        <v>41</v>
      </c>
      <c r="K382" s="6" t="n">
        <v>31506</v>
      </c>
      <c r="L382" s="2" t="s">
        <v>162</v>
      </c>
      <c r="M382" s="2" t="s">
        <v>1728</v>
      </c>
      <c r="N382" s="2"/>
      <c r="O382" s="7" t="b">
        <f aca="false">FALSE()</f>
        <v>0</v>
      </c>
      <c r="P382" s="2" t="n">
        <v>-54</v>
      </c>
      <c r="Q382" s="2" t="s">
        <v>2209</v>
      </c>
      <c r="R382" s="2"/>
    </row>
    <row r="383" customFormat="false" ht="15" hidden="false" customHeight="false" outlineLevel="0" collapsed="false">
      <c r="A383" s="2" t="s">
        <v>1730</v>
      </c>
      <c r="B383" s="2" t="s">
        <v>1731</v>
      </c>
      <c r="C383" s="2" t="s">
        <v>2298</v>
      </c>
      <c r="D383" s="2" t="s">
        <v>2215</v>
      </c>
      <c r="E383" s="2" t="s">
        <v>1732</v>
      </c>
      <c r="F383" s="2" t="s">
        <v>2197</v>
      </c>
      <c r="G383" s="5" t="n">
        <v>46102</v>
      </c>
      <c r="H383" s="5" t="n">
        <v>46162</v>
      </c>
      <c r="I383" s="2" t="n">
        <v>60</v>
      </c>
      <c r="J383" s="2" t="s">
        <v>41</v>
      </c>
      <c r="K383" s="6" t="n">
        <v>62540</v>
      </c>
      <c r="L383" s="2" t="s">
        <v>1596</v>
      </c>
      <c r="M383" s="2" t="s">
        <v>1736</v>
      </c>
      <c r="N383" s="2"/>
      <c r="O383" s="7" t="b">
        <f aca="false">FALSE()</f>
        <v>0</v>
      </c>
      <c r="P383" s="2" t="n">
        <v>133</v>
      </c>
      <c r="Q383" s="2" t="s">
        <v>2201</v>
      </c>
      <c r="R383" s="2" t="s">
        <v>2208</v>
      </c>
    </row>
    <row r="384" customFormat="false" ht="15" hidden="false" customHeight="false" outlineLevel="0" collapsed="false">
      <c r="A384" s="2" t="s">
        <v>1730</v>
      </c>
      <c r="B384" s="2" t="s">
        <v>1731</v>
      </c>
      <c r="C384" s="2" t="s">
        <v>2298</v>
      </c>
      <c r="D384" s="2" t="s">
        <v>2215</v>
      </c>
      <c r="E384" s="2" t="s">
        <v>1737</v>
      </c>
      <c r="F384" s="2" t="s">
        <v>2197</v>
      </c>
      <c r="G384" s="5" t="n">
        <v>46131</v>
      </c>
      <c r="H384" s="5" t="n">
        <v>46191</v>
      </c>
      <c r="I384" s="2" t="n">
        <v>60</v>
      </c>
      <c r="J384" s="2" t="s">
        <v>41</v>
      </c>
      <c r="K384" s="6" t="n">
        <v>76700</v>
      </c>
      <c r="L384" s="2" t="s">
        <v>162</v>
      </c>
      <c r="M384" s="2"/>
      <c r="N384" s="2"/>
      <c r="O384" s="7" t="b">
        <f aca="false">FALSE()</f>
        <v>0</v>
      </c>
      <c r="P384" s="2" t="n">
        <v>104</v>
      </c>
      <c r="Q384" s="2" t="s">
        <v>2201</v>
      </c>
      <c r="R384" s="2"/>
    </row>
    <row r="385" customFormat="false" ht="15" hidden="false" customHeight="false" outlineLevel="0" collapsed="false">
      <c r="A385" s="2" t="s">
        <v>1730</v>
      </c>
      <c r="B385" s="2" t="s">
        <v>1731</v>
      </c>
      <c r="C385" s="2" t="s">
        <v>2298</v>
      </c>
      <c r="D385" s="2" t="s">
        <v>2215</v>
      </c>
      <c r="E385" s="2" t="s">
        <v>1744</v>
      </c>
      <c r="F385" s="2" t="s">
        <v>2197</v>
      </c>
      <c r="G385" s="5" t="n">
        <v>46258</v>
      </c>
      <c r="H385" s="5" t="n">
        <v>46318</v>
      </c>
      <c r="I385" s="2" t="n">
        <v>60</v>
      </c>
      <c r="J385" s="2" t="s">
        <v>41</v>
      </c>
      <c r="K385" s="6" t="n">
        <v>194133.99</v>
      </c>
      <c r="L385" s="2" t="s">
        <v>1596</v>
      </c>
      <c r="M385" s="2"/>
      <c r="N385" s="2"/>
      <c r="O385" s="7" t="b">
        <f aca="false">FALSE()</f>
        <v>0</v>
      </c>
      <c r="P385" s="2" t="n">
        <v>-23</v>
      </c>
      <c r="Q385" s="2" t="s">
        <v>2209</v>
      </c>
      <c r="R385" s="2"/>
    </row>
    <row r="386" customFormat="false" ht="15" hidden="false" customHeight="false" outlineLevel="0" collapsed="false">
      <c r="A386" s="2" t="s">
        <v>1730</v>
      </c>
      <c r="B386" s="2" t="s">
        <v>1731</v>
      </c>
      <c r="C386" s="2" t="s">
        <v>2298</v>
      </c>
      <c r="D386" s="2" t="s">
        <v>2215</v>
      </c>
      <c r="E386" s="2" t="s">
        <v>1739</v>
      </c>
      <c r="F386" s="2" t="s">
        <v>2197</v>
      </c>
      <c r="G386" s="5" t="n">
        <v>46295</v>
      </c>
      <c r="H386" s="5" t="n">
        <v>46355</v>
      </c>
      <c r="I386" s="2" t="n">
        <v>60</v>
      </c>
      <c r="J386" s="2" t="s">
        <v>41</v>
      </c>
      <c r="K386" s="6" t="n">
        <v>45902</v>
      </c>
      <c r="L386" s="2" t="s">
        <v>1596</v>
      </c>
      <c r="M386" s="2" t="s">
        <v>1743</v>
      </c>
      <c r="N386" s="2"/>
      <c r="O386" s="7" t="b">
        <f aca="false">FALSE()</f>
        <v>0</v>
      </c>
      <c r="P386" s="2" t="n">
        <v>-60</v>
      </c>
      <c r="Q386" s="2" t="s">
        <v>2209</v>
      </c>
      <c r="R386" s="2"/>
    </row>
    <row r="387" customFormat="false" ht="15" hidden="false" customHeight="false" outlineLevel="0" collapsed="false">
      <c r="A387" s="2" t="s">
        <v>1747</v>
      </c>
      <c r="B387" s="2" t="s">
        <v>1748</v>
      </c>
      <c r="C387" s="2" t="s">
        <v>2220</v>
      </c>
      <c r="D387" s="2" t="s">
        <v>2215</v>
      </c>
      <c r="E387" s="2" t="s">
        <v>1749</v>
      </c>
      <c r="F387" s="2" t="s">
        <v>2197</v>
      </c>
      <c r="G387" s="5" t="n">
        <v>45979</v>
      </c>
      <c r="H387" s="5" t="n">
        <v>46039</v>
      </c>
      <c r="I387" s="2" t="n">
        <v>60</v>
      </c>
      <c r="J387" s="2" t="s">
        <v>41</v>
      </c>
      <c r="K387" s="6" t="n">
        <v>9727.87</v>
      </c>
      <c r="L387" s="2" t="s">
        <v>1596</v>
      </c>
      <c r="M387" s="2" t="s">
        <v>1753</v>
      </c>
      <c r="N387" s="2"/>
      <c r="O387" s="7" t="b">
        <f aca="false">FALSE()</f>
        <v>0</v>
      </c>
      <c r="P387" s="2" t="n">
        <v>256</v>
      </c>
      <c r="Q387" s="2" t="s">
        <v>2198</v>
      </c>
      <c r="R387" s="2"/>
    </row>
    <row r="388" customFormat="false" ht="15" hidden="false" customHeight="false" outlineLevel="0" collapsed="false">
      <c r="A388" s="2" t="s">
        <v>1747</v>
      </c>
      <c r="B388" s="2" t="s">
        <v>1748</v>
      </c>
      <c r="C388" s="2" t="s">
        <v>2220</v>
      </c>
      <c r="D388" s="2" t="s">
        <v>2215</v>
      </c>
      <c r="E388" s="2" t="s">
        <v>1755</v>
      </c>
      <c r="F388" s="2" t="s">
        <v>2222</v>
      </c>
      <c r="G388" s="5" t="n">
        <v>46026</v>
      </c>
      <c r="H388" s="5" t="n">
        <v>46026</v>
      </c>
      <c r="I388" s="2" t="n">
        <v>0</v>
      </c>
      <c r="J388" s="2" t="s">
        <v>41</v>
      </c>
      <c r="K388" s="6" t="n">
        <v>-33200</v>
      </c>
      <c r="L388" s="2" t="s">
        <v>1596</v>
      </c>
      <c r="M388" s="2"/>
      <c r="N388" s="2"/>
      <c r="O388" s="7" t="b">
        <f aca="false">FALSE()</f>
        <v>0</v>
      </c>
      <c r="P388" s="2" t="n">
        <v>269</v>
      </c>
      <c r="Q388" s="2" t="s">
        <v>2198</v>
      </c>
      <c r="R388" s="2"/>
    </row>
    <row r="389" customFormat="false" ht="15" hidden="false" customHeight="false" outlineLevel="0" collapsed="false">
      <c r="A389" s="2" t="s">
        <v>1747</v>
      </c>
      <c r="B389" s="2" t="s">
        <v>1748</v>
      </c>
      <c r="C389" s="2" t="s">
        <v>2220</v>
      </c>
      <c r="D389" s="2" t="s">
        <v>2215</v>
      </c>
      <c r="E389" s="2" t="s">
        <v>1758</v>
      </c>
      <c r="F389" s="2" t="s">
        <v>2197</v>
      </c>
      <c r="G389" s="5" t="n">
        <v>46072</v>
      </c>
      <c r="H389" s="5" t="n">
        <v>46132</v>
      </c>
      <c r="I389" s="2" t="n">
        <v>60</v>
      </c>
      <c r="J389" s="2" t="s">
        <v>41</v>
      </c>
      <c r="K389" s="6" t="n">
        <v>202488</v>
      </c>
      <c r="L389" s="2" t="s">
        <v>1596</v>
      </c>
      <c r="M389" s="2" t="s">
        <v>1762</v>
      </c>
      <c r="N389" s="2" t="s">
        <v>959</v>
      </c>
      <c r="O389" s="7" t="b">
        <f aca="false">FALSE()</f>
        <v>0</v>
      </c>
      <c r="P389" s="2" t="n">
        <v>163</v>
      </c>
      <c r="Q389" s="2" t="s">
        <v>2201</v>
      </c>
      <c r="R389" s="2" t="s">
        <v>2208</v>
      </c>
    </row>
    <row r="390" customFormat="false" ht="15" hidden="false" customHeight="false" outlineLevel="0" collapsed="false">
      <c r="A390" s="2" t="s">
        <v>1747</v>
      </c>
      <c r="B390" s="2" t="s">
        <v>1748</v>
      </c>
      <c r="C390" s="2" t="s">
        <v>2220</v>
      </c>
      <c r="D390" s="2" t="s">
        <v>2215</v>
      </c>
      <c r="E390" s="2" t="s">
        <v>1763</v>
      </c>
      <c r="F390" s="2" t="s">
        <v>2197</v>
      </c>
      <c r="G390" s="5" t="n">
        <v>46117</v>
      </c>
      <c r="H390" s="5" t="n">
        <v>46177</v>
      </c>
      <c r="I390" s="2" t="n">
        <v>60</v>
      </c>
      <c r="J390" s="2" t="s">
        <v>41</v>
      </c>
      <c r="K390" s="6" t="n">
        <v>157351.1</v>
      </c>
      <c r="L390" s="2" t="s">
        <v>1596</v>
      </c>
      <c r="M390" s="2"/>
      <c r="N390" s="2"/>
      <c r="O390" s="7" t="b">
        <f aca="false">FALSE()</f>
        <v>0</v>
      </c>
      <c r="P390" s="2" t="n">
        <v>118</v>
      </c>
      <c r="Q390" s="2" t="s">
        <v>2201</v>
      </c>
      <c r="R390" s="2"/>
    </row>
    <row r="391" customFormat="false" ht="15" hidden="false" customHeight="false" outlineLevel="0" collapsed="false">
      <c r="A391" s="2" t="s">
        <v>1747</v>
      </c>
      <c r="B391" s="2" t="s">
        <v>1748</v>
      </c>
      <c r="C391" s="2" t="s">
        <v>2220</v>
      </c>
      <c r="D391" s="2" t="s">
        <v>2215</v>
      </c>
      <c r="E391" s="2" t="s">
        <v>1766</v>
      </c>
      <c r="F391" s="2" t="s">
        <v>2197</v>
      </c>
      <c r="G391" s="5" t="n">
        <v>46167</v>
      </c>
      <c r="H391" s="5" t="n">
        <v>46227</v>
      </c>
      <c r="I391" s="2" t="n">
        <v>60</v>
      </c>
      <c r="J391" s="2" t="s">
        <v>41</v>
      </c>
      <c r="K391" s="6" t="n">
        <v>228096</v>
      </c>
      <c r="L391" s="2" t="s">
        <v>1596</v>
      </c>
      <c r="M391" s="2"/>
      <c r="N391" s="2"/>
      <c r="O391" s="7" t="b">
        <f aca="false">FALSE()</f>
        <v>0</v>
      </c>
      <c r="P391" s="2" t="n">
        <v>68</v>
      </c>
      <c r="Q391" s="2" t="s">
        <v>2203</v>
      </c>
      <c r="R391" s="2"/>
    </row>
    <row r="392" customFormat="false" ht="15" hidden="false" customHeight="false" outlineLevel="0" collapsed="false">
      <c r="A392" s="2" t="s">
        <v>1747</v>
      </c>
      <c r="B392" s="2" t="s">
        <v>1748</v>
      </c>
      <c r="C392" s="2" t="s">
        <v>2220</v>
      </c>
      <c r="D392" s="2" t="s">
        <v>2215</v>
      </c>
      <c r="E392" s="2" t="s">
        <v>1771</v>
      </c>
      <c r="F392" s="2" t="s">
        <v>2197</v>
      </c>
      <c r="G392" s="5" t="n">
        <v>46190</v>
      </c>
      <c r="H392" s="5" t="n">
        <v>46250</v>
      </c>
      <c r="I392" s="2" t="n">
        <v>60</v>
      </c>
      <c r="J392" s="2" t="s">
        <v>41</v>
      </c>
      <c r="K392" s="6" t="n">
        <v>47554</v>
      </c>
      <c r="L392" s="2" t="s">
        <v>1596</v>
      </c>
      <c r="M392" s="2" t="s">
        <v>1775</v>
      </c>
      <c r="N392" s="2"/>
      <c r="O392" s="7" t="b">
        <f aca="false">FALSE()</f>
        <v>0</v>
      </c>
      <c r="P392" s="2" t="n">
        <v>45</v>
      </c>
      <c r="Q392" s="2" t="s">
        <v>2205</v>
      </c>
      <c r="R392" s="2"/>
    </row>
    <row r="393" customFormat="false" ht="15" hidden="false" customHeight="false" outlineLevel="0" collapsed="false">
      <c r="A393" s="2" t="s">
        <v>1747</v>
      </c>
      <c r="B393" s="2" t="s">
        <v>1748</v>
      </c>
      <c r="C393" s="2" t="s">
        <v>2220</v>
      </c>
      <c r="D393" s="2" t="s">
        <v>2215</v>
      </c>
      <c r="E393" s="2" t="s">
        <v>1768</v>
      </c>
      <c r="F393" s="2" t="s">
        <v>2212</v>
      </c>
      <c r="G393" s="5" t="n">
        <v>46201</v>
      </c>
      <c r="H393" s="5" t="n">
        <v>46201</v>
      </c>
      <c r="I393" s="2" t="n">
        <v>0</v>
      </c>
      <c r="J393" s="2" t="s">
        <v>41</v>
      </c>
      <c r="K393" s="6" t="n">
        <v>-6568.83</v>
      </c>
      <c r="L393" s="2" t="s">
        <v>1596</v>
      </c>
      <c r="M393" s="2"/>
      <c r="N393" s="2"/>
      <c r="O393" s="7" t="b">
        <f aca="false">FALSE()</f>
        <v>0</v>
      </c>
      <c r="P393" s="2" t="n">
        <v>94</v>
      </c>
      <c r="Q393" s="2" t="s">
        <v>2201</v>
      </c>
      <c r="R393" s="2"/>
    </row>
    <row r="394" customFormat="false" ht="15" hidden="false" customHeight="false" outlineLevel="0" collapsed="false">
      <c r="A394" s="2" t="s">
        <v>1747</v>
      </c>
      <c r="B394" s="2" t="s">
        <v>1748</v>
      </c>
      <c r="C394" s="2" t="s">
        <v>2220</v>
      </c>
      <c r="D394" s="2" t="s">
        <v>2215</v>
      </c>
      <c r="E394" s="2" t="s">
        <v>1776</v>
      </c>
      <c r="F394" s="2" t="s">
        <v>2197</v>
      </c>
      <c r="G394" s="5" t="n">
        <v>46208</v>
      </c>
      <c r="H394" s="5" t="n">
        <v>46268</v>
      </c>
      <c r="I394" s="2" t="n">
        <v>60</v>
      </c>
      <c r="J394" s="2" t="s">
        <v>41</v>
      </c>
      <c r="K394" s="6" t="n">
        <v>30326</v>
      </c>
      <c r="L394" s="2" t="s">
        <v>2204</v>
      </c>
      <c r="M394" s="2" t="s">
        <v>307</v>
      </c>
      <c r="N394" s="2"/>
      <c r="O394" s="7" t="b">
        <f aca="false">FALSE()</f>
        <v>0</v>
      </c>
      <c r="P394" s="2" t="n">
        <v>27</v>
      </c>
      <c r="Q394" s="2" t="s">
        <v>2207</v>
      </c>
      <c r="R394" s="2"/>
    </row>
    <row r="395" customFormat="false" ht="15" hidden="false" customHeight="false" outlineLevel="0" collapsed="false">
      <c r="A395" s="2" t="s">
        <v>1747</v>
      </c>
      <c r="B395" s="2" t="s">
        <v>1748</v>
      </c>
      <c r="C395" s="2" t="s">
        <v>2220</v>
      </c>
      <c r="D395" s="2" t="s">
        <v>2215</v>
      </c>
      <c r="E395" s="2" t="s">
        <v>1778</v>
      </c>
      <c r="F395" s="2" t="s">
        <v>2197</v>
      </c>
      <c r="G395" s="5" t="n">
        <v>46215</v>
      </c>
      <c r="H395" s="5" t="n">
        <v>46275</v>
      </c>
      <c r="I395" s="2" t="n">
        <v>60</v>
      </c>
      <c r="J395" s="2" t="s">
        <v>41</v>
      </c>
      <c r="K395" s="6" t="n">
        <v>144668</v>
      </c>
      <c r="L395" s="2" t="s">
        <v>1596</v>
      </c>
      <c r="M395" s="2"/>
      <c r="N395" s="2"/>
      <c r="O395" s="7" t="b">
        <f aca="false">FALSE()</f>
        <v>0</v>
      </c>
      <c r="P395" s="2" t="n">
        <v>20</v>
      </c>
      <c r="Q395" s="2" t="s">
        <v>2207</v>
      </c>
      <c r="R395" s="2"/>
    </row>
    <row r="396" customFormat="false" ht="15" hidden="false" customHeight="false" outlineLevel="0" collapsed="false">
      <c r="A396" s="2" t="s">
        <v>1747</v>
      </c>
      <c r="B396" s="2" t="s">
        <v>1748</v>
      </c>
      <c r="C396" s="2" t="s">
        <v>2220</v>
      </c>
      <c r="D396" s="2" t="s">
        <v>2215</v>
      </c>
      <c r="E396" s="2" t="s">
        <v>2299</v>
      </c>
      <c r="F396" s="2" t="s">
        <v>2197</v>
      </c>
      <c r="G396" s="5" t="n">
        <v>46218</v>
      </c>
      <c r="H396" s="5" t="n">
        <v>46263</v>
      </c>
      <c r="I396" s="2" t="n">
        <v>45</v>
      </c>
      <c r="J396" s="2" t="s">
        <v>41</v>
      </c>
      <c r="K396" s="6" t="n">
        <v>45554.24</v>
      </c>
      <c r="L396" s="2" t="s">
        <v>1596</v>
      </c>
      <c r="M396" s="2" t="s">
        <v>1784</v>
      </c>
      <c r="N396" s="2"/>
      <c r="O396" s="7" t="b">
        <f aca="false">FALSE()</f>
        <v>0</v>
      </c>
      <c r="P396" s="2" t="n">
        <v>32</v>
      </c>
      <c r="Q396" s="2" t="s">
        <v>2205</v>
      </c>
      <c r="R396" s="2"/>
    </row>
    <row r="397" customFormat="false" ht="15" hidden="false" customHeight="false" outlineLevel="0" collapsed="false">
      <c r="A397" s="2" t="s">
        <v>1747</v>
      </c>
      <c r="B397" s="2" t="s">
        <v>1748</v>
      </c>
      <c r="C397" s="2" t="s">
        <v>2220</v>
      </c>
      <c r="D397" s="2" t="s">
        <v>2215</v>
      </c>
      <c r="E397" s="2" t="s">
        <v>1785</v>
      </c>
      <c r="F397" s="2" t="s">
        <v>2197</v>
      </c>
      <c r="G397" s="5" t="n">
        <v>46234</v>
      </c>
      <c r="H397" s="5" t="n">
        <v>46294</v>
      </c>
      <c r="I397" s="2" t="n">
        <v>60</v>
      </c>
      <c r="J397" s="2" t="s">
        <v>41</v>
      </c>
      <c r="K397" s="6" t="n">
        <v>201088</v>
      </c>
      <c r="L397" s="2" t="s">
        <v>502</v>
      </c>
      <c r="M397" s="2"/>
      <c r="N397" s="2"/>
      <c r="O397" s="7" t="b">
        <f aca="false">FALSE()</f>
        <v>0</v>
      </c>
      <c r="P397" s="2" t="n">
        <v>1</v>
      </c>
      <c r="Q397" s="2" t="s">
        <v>2207</v>
      </c>
      <c r="R397" s="2" t="s">
        <v>2208</v>
      </c>
    </row>
    <row r="398" customFormat="false" ht="15" hidden="false" customHeight="false" outlineLevel="0" collapsed="false">
      <c r="A398" s="2" t="s">
        <v>1747</v>
      </c>
      <c r="B398" s="2" t="s">
        <v>1748</v>
      </c>
      <c r="C398" s="2" t="s">
        <v>2220</v>
      </c>
      <c r="D398" s="2" t="s">
        <v>2215</v>
      </c>
      <c r="E398" s="2" t="s">
        <v>1788</v>
      </c>
      <c r="F398" s="2" t="s">
        <v>2212</v>
      </c>
      <c r="G398" s="5" t="n">
        <v>46236</v>
      </c>
      <c r="H398" s="5" t="n">
        <v>46236</v>
      </c>
      <c r="I398" s="2" t="n">
        <v>0</v>
      </c>
      <c r="J398" s="2" t="s">
        <v>41</v>
      </c>
      <c r="K398" s="6" t="n">
        <v>-51300</v>
      </c>
      <c r="L398" s="2" t="s">
        <v>1596</v>
      </c>
      <c r="M398" s="2"/>
      <c r="N398" s="2"/>
      <c r="O398" s="7" t="b">
        <f aca="false">FALSE()</f>
        <v>0</v>
      </c>
      <c r="P398" s="2" t="n">
        <v>59</v>
      </c>
      <c r="Q398" s="2" t="s">
        <v>2205</v>
      </c>
      <c r="R398" s="2"/>
    </row>
    <row r="399" customFormat="false" ht="15" hidden="false" customHeight="false" outlineLevel="0" collapsed="false">
      <c r="A399" s="2" t="s">
        <v>1747</v>
      </c>
      <c r="B399" s="2" t="s">
        <v>1748</v>
      </c>
      <c r="C399" s="2" t="s">
        <v>2220</v>
      </c>
      <c r="D399" s="2" t="s">
        <v>2215</v>
      </c>
      <c r="E399" s="2" t="s">
        <v>1790</v>
      </c>
      <c r="F399" s="2" t="s">
        <v>2197</v>
      </c>
      <c r="G399" s="5" t="n">
        <v>46251</v>
      </c>
      <c r="H399" s="5" t="n">
        <v>46311</v>
      </c>
      <c r="I399" s="2" t="n">
        <v>60</v>
      </c>
      <c r="J399" s="2" t="s">
        <v>41</v>
      </c>
      <c r="K399" s="6" t="n">
        <v>76700</v>
      </c>
      <c r="L399" s="2" t="s">
        <v>1596</v>
      </c>
      <c r="M399" s="2" t="s">
        <v>1794</v>
      </c>
      <c r="N399" s="2"/>
      <c r="O399" s="7" t="b">
        <f aca="false">FALSE()</f>
        <v>0</v>
      </c>
      <c r="P399" s="2" t="n">
        <v>-16</v>
      </c>
      <c r="Q399" s="2" t="s">
        <v>2209</v>
      </c>
      <c r="R399" s="2"/>
    </row>
    <row r="400" customFormat="false" ht="15" hidden="false" customHeight="false" outlineLevel="0" collapsed="false">
      <c r="A400" s="2" t="s">
        <v>1747</v>
      </c>
      <c r="B400" s="2" t="s">
        <v>1748</v>
      </c>
      <c r="C400" s="2" t="s">
        <v>2220</v>
      </c>
      <c r="D400" s="2" t="s">
        <v>2215</v>
      </c>
      <c r="E400" s="2" t="s">
        <v>1795</v>
      </c>
      <c r="F400" s="2" t="s">
        <v>2197</v>
      </c>
      <c r="G400" s="5" t="n">
        <v>46257</v>
      </c>
      <c r="H400" s="5" t="n">
        <v>46317</v>
      </c>
      <c r="I400" s="2" t="n">
        <v>60</v>
      </c>
      <c r="J400" s="2" t="s">
        <v>41</v>
      </c>
      <c r="K400" s="6" t="n">
        <v>104784</v>
      </c>
      <c r="L400" s="2" t="s">
        <v>1596</v>
      </c>
      <c r="M400" s="2" t="s">
        <v>1796</v>
      </c>
      <c r="N400" s="2"/>
      <c r="O400" s="7" t="b">
        <f aca="false">FALSE()</f>
        <v>0</v>
      </c>
      <c r="P400" s="2" t="n">
        <v>-22</v>
      </c>
      <c r="Q400" s="2" t="s">
        <v>2209</v>
      </c>
      <c r="R400" s="2" t="s">
        <v>2208</v>
      </c>
    </row>
    <row r="401" customFormat="false" ht="15" hidden="false" customHeight="false" outlineLevel="0" collapsed="false">
      <c r="A401" s="2" t="s">
        <v>1747</v>
      </c>
      <c r="B401" s="2" t="s">
        <v>1748</v>
      </c>
      <c r="C401" s="2" t="s">
        <v>2220</v>
      </c>
      <c r="D401" s="2" t="s">
        <v>2215</v>
      </c>
      <c r="E401" s="2" t="s">
        <v>1797</v>
      </c>
      <c r="F401" s="2" t="s">
        <v>2197</v>
      </c>
      <c r="G401" s="5" t="n">
        <v>46266</v>
      </c>
      <c r="H401" s="5" t="n">
        <v>46326</v>
      </c>
      <c r="I401" s="2" t="n">
        <v>60</v>
      </c>
      <c r="J401" s="2" t="s">
        <v>41</v>
      </c>
      <c r="K401" s="6" t="n">
        <v>95019.7</v>
      </c>
      <c r="L401" s="2" t="s">
        <v>1596</v>
      </c>
      <c r="M401" s="2" t="s">
        <v>1799</v>
      </c>
      <c r="N401" s="2"/>
      <c r="O401" s="7" t="b">
        <f aca="false">FALSE()</f>
        <v>0</v>
      </c>
      <c r="P401" s="2" t="n">
        <v>-31</v>
      </c>
      <c r="Q401" s="2" t="s">
        <v>2209</v>
      </c>
      <c r="R401" s="2"/>
    </row>
    <row r="402" customFormat="false" ht="15" hidden="false" customHeight="false" outlineLevel="0" collapsed="false">
      <c r="A402" s="2" t="s">
        <v>1747</v>
      </c>
      <c r="B402" s="2" t="s">
        <v>1748</v>
      </c>
      <c r="C402" s="2" t="s">
        <v>2220</v>
      </c>
      <c r="D402" s="2" t="s">
        <v>2215</v>
      </c>
      <c r="E402" s="2" t="s">
        <v>1800</v>
      </c>
      <c r="F402" s="2" t="s">
        <v>2197</v>
      </c>
      <c r="G402" s="5" t="n">
        <v>46268</v>
      </c>
      <c r="H402" s="5" t="n">
        <v>46328</v>
      </c>
      <c r="I402" s="2" t="n">
        <v>60</v>
      </c>
      <c r="J402" s="2" t="s">
        <v>41</v>
      </c>
      <c r="K402" s="6" t="n">
        <v>204140</v>
      </c>
      <c r="L402" s="2" t="s">
        <v>1596</v>
      </c>
      <c r="M402" s="2" t="s">
        <v>1802</v>
      </c>
      <c r="N402" s="2"/>
      <c r="O402" s="7" t="b">
        <f aca="false">FALSE()</f>
        <v>0</v>
      </c>
      <c r="P402" s="2" t="n">
        <v>-33</v>
      </c>
      <c r="Q402" s="2" t="s">
        <v>2209</v>
      </c>
      <c r="R402" s="2"/>
    </row>
    <row r="403" customFormat="false" ht="15" hidden="false" customHeight="false" outlineLevel="0" collapsed="false">
      <c r="A403" s="2" t="s">
        <v>1747</v>
      </c>
      <c r="B403" s="2" t="s">
        <v>1748</v>
      </c>
      <c r="C403" s="2" t="s">
        <v>2220</v>
      </c>
      <c r="D403" s="2" t="s">
        <v>2215</v>
      </c>
      <c r="E403" s="2" t="s">
        <v>1803</v>
      </c>
      <c r="F403" s="2" t="s">
        <v>2197</v>
      </c>
      <c r="G403" s="5" t="n">
        <v>46274</v>
      </c>
      <c r="H403" s="5" t="n">
        <v>46334</v>
      </c>
      <c r="I403" s="2" t="n">
        <v>60</v>
      </c>
      <c r="J403" s="2" t="s">
        <v>41</v>
      </c>
      <c r="K403" s="6" t="n">
        <v>528640</v>
      </c>
      <c r="L403" s="2" t="s">
        <v>1596</v>
      </c>
      <c r="M403" s="2" t="s">
        <v>1805</v>
      </c>
      <c r="N403" s="2"/>
      <c r="O403" s="7" t="b">
        <f aca="false">FALSE()</f>
        <v>0</v>
      </c>
      <c r="P403" s="2" t="n">
        <v>-39</v>
      </c>
      <c r="Q403" s="2" t="s">
        <v>2209</v>
      </c>
      <c r="R403" s="2"/>
    </row>
    <row r="404" customFormat="false" ht="15" hidden="false" customHeight="false" outlineLevel="0" collapsed="false">
      <c r="A404" s="2" t="s">
        <v>1747</v>
      </c>
      <c r="B404" s="2" t="s">
        <v>1748</v>
      </c>
      <c r="C404" s="2" t="s">
        <v>2220</v>
      </c>
      <c r="D404" s="2" t="s">
        <v>2215</v>
      </c>
      <c r="E404" s="2" t="s">
        <v>1810</v>
      </c>
      <c r="F404" s="2" t="s">
        <v>2197</v>
      </c>
      <c r="G404" s="5" t="n">
        <v>46280</v>
      </c>
      <c r="H404" s="5" t="n">
        <v>46340</v>
      </c>
      <c r="I404" s="2" t="n">
        <v>60</v>
      </c>
      <c r="J404" s="2" t="s">
        <v>41</v>
      </c>
      <c r="K404" s="6" t="n">
        <v>19584</v>
      </c>
      <c r="L404" s="2" t="s">
        <v>1596</v>
      </c>
      <c r="M404" s="2" t="s">
        <v>1812</v>
      </c>
      <c r="N404" s="2"/>
      <c r="O404" s="7" t="b">
        <f aca="false">FALSE()</f>
        <v>0</v>
      </c>
      <c r="P404" s="2" t="n">
        <v>-45</v>
      </c>
      <c r="Q404" s="2" t="s">
        <v>2209</v>
      </c>
      <c r="R404" s="2"/>
    </row>
    <row r="405" customFormat="false" ht="15" hidden="false" customHeight="false" outlineLevel="0" collapsed="false">
      <c r="A405" s="2" t="s">
        <v>1747</v>
      </c>
      <c r="B405" s="2" t="s">
        <v>1748</v>
      </c>
      <c r="C405" s="2" t="s">
        <v>2220</v>
      </c>
      <c r="D405" s="2" t="s">
        <v>2215</v>
      </c>
      <c r="E405" s="2" t="s">
        <v>1806</v>
      </c>
      <c r="F405" s="2" t="s">
        <v>2197</v>
      </c>
      <c r="G405" s="5" t="n">
        <v>46287</v>
      </c>
      <c r="H405" s="5" t="n">
        <v>46347</v>
      </c>
      <c r="I405" s="2" t="n">
        <v>60</v>
      </c>
      <c r="J405" s="2" t="s">
        <v>41</v>
      </c>
      <c r="K405" s="6" t="n">
        <v>159182</v>
      </c>
      <c r="L405" s="2" t="s">
        <v>1596</v>
      </c>
      <c r="M405" s="2" t="s">
        <v>1809</v>
      </c>
      <c r="N405" s="2"/>
      <c r="O405" s="7" t="b">
        <f aca="false">FALSE()</f>
        <v>0</v>
      </c>
      <c r="P405" s="2" t="n">
        <v>-52</v>
      </c>
      <c r="Q405" s="2" t="s">
        <v>2209</v>
      </c>
      <c r="R405" s="2" t="s">
        <v>2208</v>
      </c>
    </row>
    <row r="406" customFormat="false" ht="15" hidden="false" customHeight="false" outlineLevel="0" collapsed="false">
      <c r="A406" s="2" t="s">
        <v>2300</v>
      </c>
      <c r="B406" s="2" t="s">
        <v>2301</v>
      </c>
      <c r="C406" s="2" t="s">
        <v>2226</v>
      </c>
      <c r="D406" s="2" t="s">
        <v>2215</v>
      </c>
      <c r="E406" s="2" t="s">
        <v>2302</v>
      </c>
      <c r="F406" s="2" t="s">
        <v>2197</v>
      </c>
      <c r="G406" s="5" t="n">
        <v>46101</v>
      </c>
      <c r="H406" s="5" t="n">
        <v>46146</v>
      </c>
      <c r="I406" s="2" t="n">
        <v>45</v>
      </c>
      <c r="J406" s="2" t="s">
        <v>1818</v>
      </c>
      <c r="K406" s="6" t="n">
        <v>14300.94</v>
      </c>
      <c r="L406" s="2" t="s">
        <v>137</v>
      </c>
      <c r="M406" s="2"/>
      <c r="N406" s="2"/>
      <c r="O406" s="7" t="b">
        <f aca="false">FALSE()</f>
        <v>0</v>
      </c>
      <c r="P406" s="2" t="n">
        <v>149</v>
      </c>
      <c r="Q406" s="2" t="s">
        <v>2201</v>
      </c>
      <c r="R406" s="2"/>
    </row>
    <row r="407" customFormat="false" ht="15" hidden="false" customHeight="false" outlineLevel="0" collapsed="false">
      <c r="A407" s="2" t="s">
        <v>2300</v>
      </c>
      <c r="B407" s="2" t="s">
        <v>2301</v>
      </c>
      <c r="C407" s="2" t="s">
        <v>2226</v>
      </c>
      <c r="D407" s="2" t="s">
        <v>2215</v>
      </c>
      <c r="E407" s="2" t="s">
        <v>1819</v>
      </c>
      <c r="F407" s="2" t="s">
        <v>2197</v>
      </c>
      <c r="G407" s="5" t="n">
        <v>46225</v>
      </c>
      <c r="H407" s="5" t="n">
        <v>46270</v>
      </c>
      <c r="I407" s="2" t="n">
        <v>45</v>
      </c>
      <c r="J407" s="2" t="s">
        <v>1818</v>
      </c>
      <c r="K407" s="6" t="n">
        <v>16092.07</v>
      </c>
      <c r="L407" s="2" t="s">
        <v>137</v>
      </c>
      <c r="M407" s="2" t="s">
        <v>1822</v>
      </c>
      <c r="N407" s="2"/>
      <c r="O407" s="7" t="b">
        <f aca="false">FALSE()</f>
        <v>0</v>
      </c>
      <c r="P407" s="2" t="n">
        <v>25</v>
      </c>
      <c r="Q407" s="2" t="s">
        <v>2207</v>
      </c>
      <c r="R407" s="2"/>
    </row>
    <row r="408" customFormat="false" ht="15" hidden="false" customHeight="false" outlineLevel="0" collapsed="false">
      <c r="A408" s="2" t="s">
        <v>2300</v>
      </c>
      <c r="B408" s="2" t="s">
        <v>2301</v>
      </c>
      <c r="C408" s="2" t="s">
        <v>2226</v>
      </c>
      <c r="D408" s="2" t="s">
        <v>2215</v>
      </c>
      <c r="E408" s="2" t="s">
        <v>1826</v>
      </c>
      <c r="F408" s="2" t="s">
        <v>2197</v>
      </c>
      <c r="G408" s="5" t="n">
        <v>46276</v>
      </c>
      <c r="H408" s="5" t="n">
        <v>46321</v>
      </c>
      <c r="I408" s="2" t="n">
        <v>45</v>
      </c>
      <c r="J408" s="2" t="s">
        <v>1818</v>
      </c>
      <c r="K408" s="6" t="n">
        <v>3540.82</v>
      </c>
      <c r="L408" s="2" t="s">
        <v>137</v>
      </c>
      <c r="M408" s="2" t="s">
        <v>1828</v>
      </c>
      <c r="N408" s="2"/>
      <c r="O408" s="7" t="b">
        <f aca="false">FALSE()</f>
        <v>0</v>
      </c>
      <c r="P408" s="2" t="n">
        <v>-26</v>
      </c>
      <c r="Q408" s="2" t="s">
        <v>2209</v>
      </c>
      <c r="R408" s="2"/>
    </row>
    <row r="409" customFormat="false" ht="15" hidden="false" customHeight="false" outlineLevel="0" collapsed="false">
      <c r="A409" s="2" t="s">
        <v>2300</v>
      </c>
      <c r="B409" s="2" t="s">
        <v>2301</v>
      </c>
      <c r="C409" s="2" t="s">
        <v>2226</v>
      </c>
      <c r="D409" s="2" t="s">
        <v>2215</v>
      </c>
      <c r="E409" s="2" t="s">
        <v>1823</v>
      </c>
      <c r="F409" s="2" t="s">
        <v>2197</v>
      </c>
      <c r="G409" s="5" t="n">
        <v>46277</v>
      </c>
      <c r="H409" s="5" t="n">
        <v>46322</v>
      </c>
      <c r="I409" s="2" t="n">
        <v>45</v>
      </c>
      <c r="J409" s="2" t="s">
        <v>1818</v>
      </c>
      <c r="K409" s="6" t="n">
        <v>2799.28</v>
      </c>
      <c r="L409" s="2" t="s">
        <v>137</v>
      </c>
      <c r="M409" s="2"/>
      <c r="N409" s="2"/>
      <c r="O409" s="7" t="b">
        <f aca="false">FALSE()</f>
        <v>0</v>
      </c>
      <c r="P409" s="2" t="n">
        <v>-27</v>
      </c>
      <c r="Q409" s="2" t="s">
        <v>2209</v>
      </c>
      <c r="R409" s="2" t="s">
        <v>2233</v>
      </c>
    </row>
    <row r="410" customFormat="false" ht="15" hidden="false" customHeight="false" outlineLevel="0" collapsed="false">
      <c r="A410" s="2" t="s">
        <v>2300</v>
      </c>
      <c r="B410" s="2" t="s">
        <v>2301</v>
      </c>
      <c r="C410" s="2" t="s">
        <v>2226</v>
      </c>
      <c r="D410" s="2" t="s">
        <v>2215</v>
      </c>
      <c r="E410" s="2" t="s">
        <v>1829</v>
      </c>
      <c r="F410" s="2" t="s">
        <v>2197</v>
      </c>
      <c r="G410" s="5" t="n">
        <v>46286</v>
      </c>
      <c r="H410" s="5" t="n">
        <v>46331</v>
      </c>
      <c r="I410" s="2" t="n">
        <v>45</v>
      </c>
      <c r="J410" s="2" t="s">
        <v>1818</v>
      </c>
      <c r="K410" s="6" t="n">
        <v>1021.72</v>
      </c>
      <c r="L410" s="2" t="s">
        <v>137</v>
      </c>
      <c r="M410" s="2" t="s">
        <v>1831</v>
      </c>
      <c r="N410" s="2"/>
      <c r="O410" s="7" t="b">
        <f aca="false">FALSE()</f>
        <v>0</v>
      </c>
      <c r="P410" s="2" t="n">
        <v>-36</v>
      </c>
      <c r="Q410" s="2" t="s">
        <v>2209</v>
      </c>
      <c r="R410" s="2" t="s">
        <v>2202</v>
      </c>
    </row>
    <row r="411" customFormat="false" ht="15" hidden="false" customHeight="false" outlineLevel="0" collapsed="false">
      <c r="A411" s="2" t="s">
        <v>1833</v>
      </c>
      <c r="B411" s="2" t="s">
        <v>2303</v>
      </c>
      <c r="C411" s="2" t="s">
        <v>2226</v>
      </c>
      <c r="D411" s="2" t="s">
        <v>2211</v>
      </c>
      <c r="E411" s="2" t="s">
        <v>1835</v>
      </c>
      <c r="F411" s="2" t="s">
        <v>2212</v>
      </c>
      <c r="G411" s="5" t="n">
        <v>45983</v>
      </c>
      <c r="H411" s="5" t="n">
        <v>45983</v>
      </c>
      <c r="I411" s="2" t="n">
        <v>0</v>
      </c>
      <c r="J411" s="2" t="s">
        <v>1818</v>
      </c>
      <c r="K411" s="6" t="n">
        <v>-2335.7</v>
      </c>
      <c r="L411" s="2" t="s">
        <v>502</v>
      </c>
      <c r="M411" s="2"/>
      <c r="N411" s="2"/>
      <c r="O411" s="7" t="b">
        <f aca="false">FALSE()</f>
        <v>0</v>
      </c>
      <c r="P411" s="2" t="n">
        <v>312</v>
      </c>
      <c r="Q411" s="2" t="s">
        <v>2198</v>
      </c>
      <c r="R411" s="2"/>
    </row>
    <row r="412" customFormat="false" ht="15" hidden="false" customHeight="false" outlineLevel="0" collapsed="false">
      <c r="A412" s="2" t="s">
        <v>1833</v>
      </c>
      <c r="B412" s="2" t="s">
        <v>2303</v>
      </c>
      <c r="C412" s="2" t="s">
        <v>2226</v>
      </c>
      <c r="D412" s="2" t="s">
        <v>2211</v>
      </c>
      <c r="E412" s="2" t="s">
        <v>1838</v>
      </c>
      <c r="F412" s="2" t="s">
        <v>2197</v>
      </c>
      <c r="G412" s="5" t="n">
        <v>46236</v>
      </c>
      <c r="H412" s="5" t="n">
        <v>46266</v>
      </c>
      <c r="I412" s="2" t="n">
        <v>30</v>
      </c>
      <c r="J412" s="2" t="s">
        <v>1818</v>
      </c>
      <c r="K412" s="6" t="n">
        <v>15714.44</v>
      </c>
      <c r="L412" s="2" t="s">
        <v>502</v>
      </c>
      <c r="M412" s="2" t="s">
        <v>1840</v>
      </c>
      <c r="N412" s="2"/>
      <c r="O412" s="7" t="b">
        <f aca="false">FALSE()</f>
        <v>0</v>
      </c>
      <c r="P412" s="2" t="n">
        <v>29</v>
      </c>
      <c r="Q412" s="2" t="s">
        <v>2207</v>
      </c>
      <c r="R412" s="2"/>
    </row>
    <row r="413" customFormat="false" ht="15" hidden="false" customHeight="false" outlineLevel="0" collapsed="false">
      <c r="A413" s="2" t="s">
        <v>1833</v>
      </c>
      <c r="B413" s="2" t="s">
        <v>2303</v>
      </c>
      <c r="C413" s="2" t="s">
        <v>2226</v>
      </c>
      <c r="D413" s="2" t="s">
        <v>2211</v>
      </c>
      <c r="E413" s="2" t="s">
        <v>1841</v>
      </c>
      <c r="F413" s="2" t="s">
        <v>2197</v>
      </c>
      <c r="G413" s="5" t="n">
        <v>46252</v>
      </c>
      <c r="H413" s="5" t="n">
        <v>46282</v>
      </c>
      <c r="I413" s="2" t="n">
        <v>30</v>
      </c>
      <c r="J413" s="2" t="s">
        <v>1818</v>
      </c>
      <c r="K413" s="6" t="n">
        <v>1050</v>
      </c>
      <c r="L413" s="2" t="s">
        <v>502</v>
      </c>
      <c r="M413" s="2" t="s">
        <v>1844</v>
      </c>
      <c r="N413" s="2"/>
      <c r="O413" s="7" t="b">
        <f aca="false">FALSE()</f>
        <v>0</v>
      </c>
      <c r="P413" s="2" t="n">
        <v>13</v>
      </c>
      <c r="Q413" s="2" t="s">
        <v>2207</v>
      </c>
      <c r="R413" s="2"/>
    </row>
    <row r="414" customFormat="false" ht="15" hidden="false" customHeight="false" outlineLevel="0" collapsed="false">
      <c r="A414" s="2" t="s">
        <v>1833</v>
      </c>
      <c r="B414" s="2" t="s">
        <v>2303</v>
      </c>
      <c r="C414" s="2" t="s">
        <v>2226</v>
      </c>
      <c r="D414" s="2" t="s">
        <v>2211</v>
      </c>
      <c r="E414" s="2" t="s">
        <v>1845</v>
      </c>
      <c r="F414" s="2" t="s">
        <v>2197</v>
      </c>
      <c r="G414" s="5" t="n">
        <v>46285</v>
      </c>
      <c r="H414" s="5" t="n">
        <v>46330</v>
      </c>
      <c r="I414" s="2" t="n">
        <v>45</v>
      </c>
      <c r="J414" s="2" t="s">
        <v>1818</v>
      </c>
      <c r="K414" s="6" t="n">
        <v>4050</v>
      </c>
      <c r="L414" s="2" t="s">
        <v>502</v>
      </c>
      <c r="M414" s="2"/>
      <c r="N414" s="2"/>
      <c r="O414" s="7" t="b">
        <f aca="false">FALSE()</f>
        <v>0</v>
      </c>
      <c r="P414" s="2" t="n">
        <v>-35</v>
      </c>
      <c r="Q414" s="2" t="s">
        <v>2209</v>
      </c>
      <c r="R414" s="2" t="s">
        <v>2202</v>
      </c>
    </row>
    <row r="415" customFormat="false" ht="15" hidden="false" customHeight="false" outlineLevel="0" collapsed="false">
      <c r="A415" s="2" t="s">
        <v>1833</v>
      </c>
      <c r="B415" s="2" t="s">
        <v>2303</v>
      </c>
      <c r="C415" s="2" t="s">
        <v>2226</v>
      </c>
      <c r="D415" s="2" t="s">
        <v>2211</v>
      </c>
      <c r="E415" s="2" t="s">
        <v>1848</v>
      </c>
      <c r="F415" s="2" t="s">
        <v>2212</v>
      </c>
      <c r="G415" s="5" t="n">
        <v>46290</v>
      </c>
      <c r="H415" s="5" t="n">
        <v>46290</v>
      </c>
      <c r="I415" s="2" t="n">
        <v>0</v>
      </c>
      <c r="J415" s="2" t="s">
        <v>1818</v>
      </c>
      <c r="K415" s="6" t="n">
        <v>-2396.84</v>
      </c>
      <c r="L415" s="2" t="s">
        <v>502</v>
      </c>
      <c r="M415" s="2"/>
      <c r="N415" s="2"/>
      <c r="O415" s="7" t="b">
        <f aca="false">FALSE()</f>
        <v>0</v>
      </c>
      <c r="P415" s="2" t="n">
        <v>5</v>
      </c>
      <c r="Q415" s="2" t="s">
        <v>2207</v>
      </c>
      <c r="R415" s="2"/>
    </row>
    <row r="416" customFormat="false" ht="15" hidden="false" customHeight="false" outlineLevel="0" collapsed="false">
      <c r="A416" s="2" t="s">
        <v>1833</v>
      </c>
      <c r="B416" s="2" t="s">
        <v>2303</v>
      </c>
      <c r="C416" s="2" t="s">
        <v>2226</v>
      </c>
      <c r="D416" s="2" t="s">
        <v>2211</v>
      </c>
      <c r="E416" s="2" t="s">
        <v>1850</v>
      </c>
      <c r="F416" s="2" t="s">
        <v>2197</v>
      </c>
      <c r="G416" s="5" t="n">
        <v>46292</v>
      </c>
      <c r="H416" s="5" t="n">
        <v>46307</v>
      </c>
      <c r="I416" s="2" t="n">
        <v>15</v>
      </c>
      <c r="J416" s="2" t="s">
        <v>1818</v>
      </c>
      <c r="K416" s="6" t="n">
        <v>2436.52</v>
      </c>
      <c r="L416" s="2" t="s">
        <v>162</v>
      </c>
      <c r="M416" s="2" t="s">
        <v>847</v>
      </c>
      <c r="N416" s="2"/>
      <c r="O416" s="7" t="b">
        <f aca="false">FALSE()</f>
        <v>0</v>
      </c>
      <c r="P416" s="2" t="n">
        <v>-12</v>
      </c>
      <c r="Q416" s="2" t="s">
        <v>2209</v>
      </c>
      <c r="R416" s="2"/>
    </row>
    <row r="417" customFormat="false" ht="15" hidden="false" customHeight="false" outlineLevel="0" collapsed="false">
      <c r="A417" s="2" t="s">
        <v>1833</v>
      </c>
      <c r="B417" s="2" t="s">
        <v>2303</v>
      </c>
      <c r="C417" s="2" t="s">
        <v>2226</v>
      </c>
      <c r="D417" s="2" t="s">
        <v>2211</v>
      </c>
      <c r="E417" s="2" t="s">
        <v>1853</v>
      </c>
      <c r="F417" s="2" t="s">
        <v>2197</v>
      </c>
      <c r="G417" s="5" t="n">
        <v>46295</v>
      </c>
      <c r="H417" s="5" t="n">
        <v>46325</v>
      </c>
      <c r="I417" s="2" t="n">
        <v>30</v>
      </c>
      <c r="J417" s="2" t="s">
        <v>1818</v>
      </c>
      <c r="K417" s="6" t="n">
        <v>1350</v>
      </c>
      <c r="L417" s="2" t="s">
        <v>502</v>
      </c>
      <c r="M417" s="2" t="s">
        <v>1856</v>
      </c>
      <c r="N417" s="2"/>
      <c r="O417" s="7" t="b">
        <f aca="false">FALSE()</f>
        <v>0</v>
      </c>
      <c r="P417" s="2" t="n">
        <v>-30</v>
      </c>
      <c r="Q417" s="2" t="s">
        <v>2209</v>
      </c>
      <c r="R417" s="2"/>
    </row>
    <row r="418" customFormat="false" ht="15" hidden="false" customHeight="false" outlineLevel="0" collapsed="false">
      <c r="A418" s="2" t="s">
        <v>2304</v>
      </c>
      <c r="B418" s="2" t="s">
        <v>1859</v>
      </c>
      <c r="C418" s="2" t="s">
        <v>2195</v>
      </c>
      <c r="D418" s="2" t="s">
        <v>2215</v>
      </c>
      <c r="E418" s="2" t="s">
        <v>1860</v>
      </c>
      <c r="F418" s="2" t="s">
        <v>2197</v>
      </c>
      <c r="G418" s="5" t="n">
        <v>46095</v>
      </c>
      <c r="H418" s="5" t="n">
        <v>46140</v>
      </c>
      <c r="I418" s="2" t="n">
        <v>45</v>
      </c>
      <c r="J418" s="2" t="s">
        <v>41</v>
      </c>
      <c r="K418" s="6" t="n">
        <v>23335.98</v>
      </c>
      <c r="L418" s="2" t="s">
        <v>162</v>
      </c>
      <c r="M418" s="2" t="s">
        <v>1864</v>
      </c>
      <c r="N418" s="2"/>
      <c r="O418" s="7" t="b">
        <f aca="false">FALSE()</f>
        <v>0</v>
      </c>
      <c r="P418" s="2" t="n">
        <v>155</v>
      </c>
      <c r="Q418" s="2" t="s">
        <v>2201</v>
      </c>
      <c r="R418" s="2"/>
    </row>
    <row r="419" customFormat="false" ht="15" hidden="false" customHeight="false" outlineLevel="0" collapsed="false">
      <c r="A419" s="2" t="s">
        <v>2304</v>
      </c>
      <c r="B419" s="2" t="s">
        <v>1859</v>
      </c>
      <c r="C419" s="2" t="s">
        <v>2195</v>
      </c>
      <c r="D419" s="2" t="s">
        <v>2215</v>
      </c>
      <c r="E419" s="2" t="s">
        <v>1865</v>
      </c>
      <c r="F419" s="2" t="s">
        <v>2197</v>
      </c>
      <c r="G419" s="5" t="n">
        <v>46165</v>
      </c>
      <c r="H419" s="5" t="n">
        <v>46210</v>
      </c>
      <c r="I419" s="2" t="n">
        <v>45</v>
      </c>
      <c r="J419" s="2" t="s">
        <v>41</v>
      </c>
      <c r="K419" s="6" t="n">
        <v>26078</v>
      </c>
      <c r="L419" s="2" t="s">
        <v>162</v>
      </c>
      <c r="M419" s="2" t="s">
        <v>1868</v>
      </c>
      <c r="N419" s="2"/>
      <c r="O419" s="7" t="b">
        <f aca="false">FALSE()</f>
        <v>0</v>
      </c>
      <c r="P419" s="2" t="n">
        <v>85</v>
      </c>
      <c r="Q419" s="2" t="s">
        <v>2203</v>
      </c>
      <c r="R419" s="2" t="s">
        <v>2202</v>
      </c>
    </row>
    <row r="420" customFormat="false" ht="15" hidden="false" customHeight="false" outlineLevel="0" collapsed="false">
      <c r="A420" s="2" t="s">
        <v>2304</v>
      </c>
      <c r="B420" s="2" t="s">
        <v>1859</v>
      </c>
      <c r="C420" s="2" t="s">
        <v>2195</v>
      </c>
      <c r="D420" s="2" t="s">
        <v>2215</v>
      </c>
      <c r="E420" s="2" t="s">
        <v>1869</v>
      </c>
      <c r="F420" s="2" t="s">
        <v>2197</v>
      </c>
      <c r="G420" s="5" t="n">
        <v>46281</v>
      </c>
      <c r="H420" s="5" t="n">
        <v>46326</v>
      </c>
      <c r="I420" s="2" t="n">
        <v>45</v>
      </c>
      <c r="J420" s="2" t="s">
        <v>41</v>
      </c>
      <c r="K420" s="6" t="n">
        <v>112100</v>
      </c>
      <c r="L420" s="2" t="s">
        <v>162</v>
      </c>
      <c r="M420" s="2" t="s">
        <v>1872</v>
      </c>
      <c r="N420" s="2"/>
      <c r="O420" s="7" t="b">
        <f aca="false">FALSE()</f>
        <v>0</v>
      </c>
      <c r="P420" s="2" t="n">
        <v>-31</v>
      </c>
      <c r="Q420" s="2" t="s">
        <v>2209</v>
      </c>
      <c r="R420" s="2"/>
    </row>
    <row r="421" customFormat="false" ht="15" hidden="false" customHeight="false" outlineLevel="0" collapsed="false">
      <c r="A421" s="2" t="s">
        <v>1874</v>
      </c>
      <c r="B421" s="2" t="s">
        <v>2305</v>
      </c>
      <c r="C421" s="2" t="s">
        <v>2226</v>
      </c>
      <c r="D421" s="2" t="s">
        <v>2211</v>
      </c>
      <c r="E421" s="2" t="s">
        <v>1879</v>
      </c>
      <c r="F421" s="2" t="s">
        <v>2197</v>
      </c>
      <c r="G421" s="5" t="n">
        <v>46154</v>
      </c>
      <c r="H421" s="5" t="n">
        <v>46214</v>
      </c>
      <c r="I421" s="2" t="n">
        <v>60</v>
      </c>
      <c r="J421" s="2" t="s">
        <v>1818</v>
      </c>
      <c r="K421" s="6" t="n">
        <v>1442.48</v>
      </c>
      <c r="L421" s="2" t="s">
        <v>137</v>
      </c>
      <c r="M421" s="2" t="s">
        <v>1883</v>
      </c>
      <c r="N421" s="2"/>
      <c r="O421" s="7" t="b">
        <f aca="false">FALSE()</f>
        <v>0</v>
      </c>
      <c r="P421" s="2" t="n">
        <v>81</v>
      </c>
      <c r="Q421" s="2" t="s">
        <v>2203</v>
      </c>
      <c r="R421" s="2"/>
    </row>
    <row r="422" customFormat="false" ht="15" hidden="false" customHeight="false" outlineLevel="0" collapsed="false">
      <c r="A422" s="2" t="s">
        <v>1874</v>
      </c>
      <c r="B422" s="2" t="s">
        <v>2305</v>
      </c>
      <c r="C422" s="2" t="s">
        <v>2226</v>
      </c>
      <c r="D422" s="2" t="s">
        <v>2211</v>
      </c>
      <c r="E422" s="2" t="s">
        <v>1876</v>
      </c>
      <c r="F422" s="2" t="s">
        <v>2197</v>
      </c>
      <c r="G422" s="5" t="n">
        <v>46210</v>
      </c>
      <c r="H422" s="5" t="n">
        <v>46270</v>
      </c>
      <c r="I422" s="2" t="n">
        <v>60</v>
      </c>
      <c r="J422" s="2" t="s">
        <v>1818</v>
      </c>
      <c r="K422" s="6" t="n">
        <v>2146.86</v>
      </c>
      <c r="L422" s="2" t="s">
        <v>137</v>
      </c>
      <c r="M422" s="2" t="s">
        <v>1878</v>
      </c>
      <c r="N422" s="2"/>
      <c r="O422" s="7" t="b">
        <f aca="false">FALSE()</f>
        <v>0</v>
      </c>
      <c r="P422" s="2" t="n">
        <v>25</v>
      </c>
      <c r="Q422" s="2" t="s">
        <v>2207</v>
      </c>
      <c r="R422" s="2"/>
    </row>
    <row r="423" customFormat="false" ht="15" hidden="false" customHeight="false" outlineLevel="0" collapsed="false">
      <c r="A423" s="2" t="s">
        <v>1874</v>
      </c>
      <c r="B423" s="2" t="s">
        <v>2305</v>
      </c>
      <c r="C423" s="2" t="s">
        <v>2226</v>
      </c>
      <c r="D423" s="2" t="s">
        <v>2211</v>
      </c>
      <c r="E423" s="2" t="s">
        <v>1884</v>
      </c>
      <c r="F423" s="2" t="s">
        <v>2197</v>
      </c>
      <c r="G423" s="5" t="n">
        <v>46241</v>
      </c>
      <c r="H423" s="5" t="n">
        <v>46301</v>
      </c>
      <c r="I423" s="2" t="n">
        <v>60</v>
      </c>
      <c r="J423" s="2" t="s">
        <v>1818</v>
      </c>
      <c r="K423" s="6" t="n">
        <v>23250</v>
      </c>
      <c r="L423" s="2" t="s">
        <v>137</v>
      </c>
      <c r="M423" s="2" t="s">
        <v>1888</v>
      </c>
      <c r="N423" s="2"/>
      <c r="O423" s="7" t="b">
        <f aca="false">FALSE()</f>
        <v>0</v>
      </c>
      <c r="P423" s="2" t="n">
        <v>-6</v>
      </c>
      <c r="Q423" s="2" t="s">
        <v>2209</v>
      </c>
      <c r="R423" s="2" t="s">
        <v>2233</v>
      </c>
    </row>
    <row r="424" customFormat="false" ht="15" hidden="false" customHeight="false" outlineLevel="0" collapsed="false">
      <c r="A424" s="2" t="s">
        <v>1874</v>
      </c>
      <c r="B424" s="2" t="s">
        <v>2305</v>
      </c>
      <c r="C424" s="2" t="s">
        <v>2226</v>
      </c>
      <c r="D424" s="2" t="s">
        <v>2211</v>
      </c>
      <c r="E424" s="2" t="s">
        <v>1889</v>
      </c>
      <c r="F424" s="2" t="s">
        <v>2222</v>
      </c>
      <c r="G424" s="5" t="n">
        <v>46272</v>
      </c>
      <c r="H424" s="5" t="n">
        <v>46272</v>
      </c>
      <c r="I424" s="2" t="n">
        <v>0</v>
      </c>
      <c r="J424" s="2" t="s">
        <v>1818</v>
      </c>
      <c r="K424" s="6" t="n">
        <v>-6900</v>
      </c>
      <c r="L424" s="2" t="s">
        <v>137</v>
      </c>
      <c r="M424" s="2" t="s">
        <v>1891</v>
      </c>
      <c r="N424" s="2"/>
      <c r="O424" s="7" t="b">
        <f aca="false">FALSE()</f>
        <v>0</v>
      </c>
      <c r="P424" s="2" t="n">
        <v>23</v>
      </c>
      <c r="Q424" s="2" t="s">
        <v>2207</v>
      </c>
      <c r="R424" s="2" t="s">
        <v>2223</v>
      </c>
    </row>
    <row r="425" customFormat="false" ht="15" hidden="false" customHeight="false" outlineLevel="0" collapsed="false">
      <c r="A425" s="2" t="s">
        <v>1893</v>
      </c>
      <c r="B425" s="2" t="s">
        <v>1894</v>
      </c>
      <c r="C425" s="2" t="s">
        <v>2220</v>
      </c>
      <c r="D425" s="2" t="s">
        <v>2224</v>
      </c>
      <c r="E425" s="2" t="s">
        <v>1895</v>
      </c>
      <c r="F425" s="2" t="s">
        <v>2197</v>
      </c>
      <c r="G425" s="5" t="n">
        <v>46008</v>
      </c>
      <c r="H425" s="5" t="n">
        <v>46038</v>
      </c>
      <c r="I425" s="2" t="n">
        <v>30</v>
      </c>
      <c r="J425" s="2" t="s">
        <v>41</v>
      </c>
      <c r="K425" s="6" t="n">
        <v>57702</v>
      </c>
      <c r="L425" s="2" t="s">
        <v>43</v>
      </c>
      <c r="M425" s="2"/>
      <c r="N425" s="2"/>
      <c r="O425" s="7" t="b">
        <f aca="false">FALSE()</f>
        <v>0</v>
      </c>
      <c r="P425" s="2" t="n">
        <v>257</v>
      </c>
      <c r="Q425" s="2" t="s">
        <v>2198</v>
      </c>
      <c r="R425" s="2"/>
    </row>
    <row r="426" customFormat="false" ht="15" hidden="false" customHeight="false" outlineLevel="0" collapsed="false">
      <c r="A426" s="2" t="s">
        <v>1893</v>
      </c>
      <c r="B426" s="2" t="s">
        <v>1894</v>
      </c>
      <c r="C426" s="2" t="s">
        <v>2220</v>
      </c>
      <c r="D426" s="2" t="s">
        <v>2224</v>
      </c>
      <c r="E426" s="2" t="s">
        <v>1899</v>
      </c>
      <c r="F426" s="2" t="s">
        <v>2197</v>
      </c>
      <c r="G426" s="5" t="n">
        <v>46012</v>
      </c>
      <c r="H426" s="5" t="n">
        <v>46042</v>
      </c>
      <c r="I426" s="2" t="n">
        <v>30</v>
      </c>
      <c r="J426" s="2" t="s">
        <v>41</v>
      </c>
      <c r="K426" s="6" t="n">
        <v>42716</v>
      </c>
      <c r="L426" s="2" t="s">
        <v>43</v>
      </c>
      <c r="M426" s="2" t="s">
        <v>1903</v>
      </c>
      <c r="N426" s="2" t="s">
        <v>1904</v>
      </c>
      <c r="O426" s="7" t="b">
        <f aca="false">TRUE()</f>
        <v>1</v>
      </c>
      <c r="P426" s="2" t="n">
        <v>253</v>
      </c>
      <c r="Q426" s="2" t="s">
        <v>2198</v>
      </c>
      <c r="R426" s="2"/>
    </row>
    <row r="427" customFormat="false" ht="15" hidden="false" customHeight="false" outlineLevel="0" collapsed="false">
      <c r="A427" s="2" t="s">
        <v>1893</v>
      </c>
      <c r="B427" s="2" t="s">
        <v>1894</v>
      </c>
      <c r="C427" s="2" t="s">
        <v>2220</v>
      </c>
      <c r="D427" s="2" t="s">
        <v>2224</v>
      </c>
      <c r="E427" s="2" t="s">
        <v>2306</v>
      </c>
      <c r="F427" s="2" t="s">
        <v>2197</v>
      </c>
      <c r="G427" s="5" t="n">
        <v>46067</v>
      </c>
      <c r="H427" s="5" t="n">
        <v>46097</v>
      </c>
      <c r="I427" s="2" t="n">
        <v>30</v>
      </c>
      <c r="J427" s="2" t="s">
        <v>41</v>
      </c>
      <c r="K427" s="6" t="n">
        <v>98933.37</v>
      </c>
      <c r="L427" s="2" t="s">
        <v>43</v>
      </c>
      <c r="M427" s="2" t="s">
        <v>1908</v>
      </c>
      <c r="N427" s="2" t="s">
        <v>798</v>
      </c>
      <c r="O427" s="7" t="b">
        <f aca="false">TRUE()</f>
        <v>1</v>
      </c>
      <c r="P427" s="2" t="n">
        <v>198</v>
      </c>
      <c r="Q427" s="2" t="s">
        <v>2198</v>
      </c>
      <c r="R427" s="2"/>
    </row>
    <row r="428" customFormat="false" ht="15" hidden="false" customHeight="false" outlineLevel="0" collapsed="false">
      <c r="A428" s="2" t="s">
        <v>1893</v>
      </c>
      <c r="B428" s="2" t="s">
        <v>1894</v>
      </c>
      <c r="C428" s="2" t="s">
        <v>2220</v>
      </c>
      <c r="D428" s="2" t="s">
        <v>2224</v>
      </c>
      <c r="E428" s="2" t="s">
        <v>1909</v>
      </c>
      <c r="F428" s="2" t="s">
        <v>2197</v>
      </c>
      <c r="G428" s="5" t="n">
        <v>46089</v>
      </c>
      <c r="H428" s="5" t="n">
        <v>46119</v>
      </c>
      <c r="I428" s="2" t="n">
        <v>30</v>
      </c>
      <c r="J428" s="2" t="s">
        <v>41</v>
      </c>
      <c r="K428" s="6" t="n">
        <v>39233.61</v>
      </c>
      <c r="L428" s="2" t="s">
        <v>43</v>
      </c>
      <c r="M428" s="2"/>
      <c r="N428" s="2"/>
      <c r="O428" s="7" t="b">
        <f aca="false">FALSE()</f>
        <v>0</v>
      </c>
      <c r="P428" s="2" t="n">
        <v>176</v>
      </c>
      <c r="Q428" s="2" t="s">
        <v>2201</v>
      </c>
      <c r="R428" s="2"/>
    </row>
    <row r="429" customFormat="false" ht="15" hidden="false" customHeight="false" outlineLevel="0" collapsed="false">
      <c r="A429" s="2" t="s">
        <v>1893</v>
      </c>
      <c r="B429" s="2" t="s">
        <v>1894</v>
      </c>
      <c r="C429" s="2" t="s">
        <v>2220</v>
      </c>
      <c r="D429" s="2" t="s">
        <v>2224</v>
      </c>
      <c r="E429" s="2" t="s">
        <v>1913</v>
      </c>
      <c r="F429" s="2" t="s">
        <v>2197</v>
      </c>
      <c r="G429" s="5" t="n">
        <v>46110</v>
      </c>
      <c r="H429" s="5" t="n">
        <v>46140</v>
      </c>
      <c r="I429" s="2" t="n">
        <v>30</v>
      </c>
      <c r="J429" s="2" t="s">
        <v>41</v>
      </c>
      <c r="K429" s="6" t="n">
        <v>36696.54</v>
      </c>
      <c r="L429" s="2" t="s">
        <v>43</v>
      </c>
      <c r="M429" s="2"/>
      <c r="N429" s="2"/>
      <c r="O429" s="7" t="b">
        <f aca="false">FALSE()</f>
        <v>0</v>
      </c>
      <c r="P429" s="2" t="n">
        <v>155</v>
      </c>
      <c r="Q429" s="2" t="s">
        <v>2201</v>
      </c>
      <c r="R429" s="2"/>
    </row>
    <row r="430" customFormat="false" ht="15" hidden="false" customHeight="false" outlineLevel="0" collapsed="false">
      <c r="A430" s="2" t="s">
        <v>1893</v>
      </c>
      <c r="B430" s="2" t="s">
        <v>1894</v>
      </c>
      <c r="C430" s="2" t="s">
        <v>2220</v>
      </c>
      <c r="D430" s="2" t="s">
        <v>2224</v>
      </c>
      <c r="E430" s="2" t="s">
        <v>1916</v>
      </c>
      <c r="F430" s="2" t="s">
        <v>2197</v>
      </c>
      <c r="G430" s="5" t="n">
        <v>46175</v>
      </c>
      <c r="H430" s="5" t="n">
        <v>46205</v>
      </c>
      <c r="I430" s="2" t="n">
        <v>30</v>
      </c>
      <c r="J430" s="2" t="s">
        <v>41</v>
      </c>
      <c r="K430" s="6" t="n">
        <v>33798.73</v>
      </c>
      <c r="L430" s="2" t="s">
        <v>43</v>
      </c>
      <c r="M430" s="2" t="s">
        <v>1919</v>
      </c>
      <c r="N430" s="2"/>
      <c r="O430" s="7" t="b">
        <f aca="false">FALSE()</f>
        <v>0</v>
      </c>
      <c r="P430" s="2" t="n">
        <v>90</v>
      </c>
      <c r="Q430" s="2" t="s">
        <v>2203</v>
      </c>
      <c r="R430" s="2"/>
    </row>
    <row r="431" customFormat="false" ht="15" hidden="false" customHeight="false" outlineLevel="0" collapsed="false">
      <c r="A431" s="2" t="s">
        <v>1893</v>
      </c>
      <c r="B431" s="2" t="s">
        <v>1894</v>
      </c>
      <c r="C431" s="2" t="s">
        <v>2220</v>
      </c>
      <c r="D431" s="2" t="s">
        <v>2224</v>
      </c>
      <c r="E431" s="2" t="s">
        <v>1920</v>
      </c>
      <c r="F431" s="2" t="s">
        <v>2197</v>
      </c>
      <c r="G431" s="5" t="n">
        <v>46186</v>
      </c>
      <c r="H431" s="5" t="n">
        <v>46216</v>
      </c>
      <c r="I431" s="2" t="n">
        <v>30</v>
      </c>
      <c r="J431" s="2" t="s">
        <v>41</v>
      </c>
      <c r="K431" s="6" t="n">
        <v>105407.45</v>
      </c>
      <c r="L431" s="2" t="s">
        <v>43</v>
      </c>
      <c r="M431" s="2"/>
      <c r="N431" s="2"/>
      <c r="O431" s="7" t="b">
        <f aca="false">FALSE()</f>
        <v>0</v>
      </c>
      <c r="P431" s="2" t="n">
        <v>79</v>
      </c>
      <c r="Q431" s="2" t="s">
        <v>2203</v>
      </c>
      <c r="R431" s="2"/>
    </row>
    <row r="432" customFormat="false" ht="15" hidden="false" customHeight="false" outlineLevel="0" collapsed="false">
      <c r="A432" s="2" t="s">
        <v>1893</v>
      </c>
      <c r="B432" s="2" t="s">
        <v>1894</v>
      </c>
      <c r="C432" s="2" t="s">
        <v>2220</v>
      </c>
      <c r="D432" s="2" t="s">
        <v>2224</v>
      </c>
      <c r="E432" s="2" t="s">
        <v>1922</v>
      </c>
      <c r="F432" s="2" t="s">
        <v>2197</v>
      </c>
      <c r="G432" s="5" t="n">
        <v>46260</v>
      </c>
      <c r="H432" s="5" t="n">
        <v>46290</v>
      </c>
      <c r="I432" s="2" t="n">
        <v>30</v>
      </c>
      <c r="J432" s="2" t="s">
        <v>41</v>
      </c>
      <c r="K432" s="6" t="n">
        <v>10891.7</v>
      </c>
      <c r="L432" s="2" t="s">
        <v>2204</v>
      </c>
      <c r="M432" s="2" t="s">
        <v>1926</v>
      </c>
      <c r="N432" s="2"/>
      <c r="O432" s="7" t="b">
        <f aca="false">FALSE()</f>
        <v>0</v>
      </c>
      <c r="P432" s="2" t="n">
        <v>5</v>
      </c>
      <c r="Q432" s="2" t="s">
        <v>2207</v>
      </c>
      <c r="R432" s="2"/>
    </row>
    <row r="433" customFormat="false" ht="15" hidden="false" customHeight="false" outlineLevel="0" collapsed="false">
      <c r="A433" s="2" t="s">
        <v>1893</v>
      </c>
      <c r="B433" s="2" t="s">
        <v>1894</v>
      </c>
      <c r="C433" s="2" t="s">
        <v>2220</v>
      </c>
      <c r="D433" s="2" t="s">
        <v>2224</v>
      </c>
      <c r="E433" s="2" t="s">
        <v>1927</v>
      </c>
      <c r="F433" s="2" t="s">
        <v>2197</v>
      </c>
      <c r="G433" s="5" t="n">
        <v>46284</v>
      </c>
      <c r="H433" s="5" t="n">
        <v>46314</v>
      </c>
      <c r="I433" s="2" t="n">
        <v>30</v>
      </c>
      <c r="J433" s="2" t="s">
        <v>41</v>
      </c>
      <c r="K433" s="6" t="n">
        <v>38940</v>
      </c>
      <c r="L433" s="2" t="s">
        <v>43</v>
      </c>
      <c r="M433" s="2" t="s">
        <v>1930</v>
      </c>
      <c r="N433" s="2"/>
      <c r="O433" s="7" t="b">
        <f aca="false">FALSE()</f>
        <v>0</v>
      </c>
      <c r="P433" s="2" t="n">
        <v>-19</v>
      </c>
      <c r="Q433" s="2" t="s">
        <v>2209</v>
      </c>
      <c r="R433" s="2" t="s">
        <v>2202</v>
      </c>
    </row>
    <row r="434" customFormat="false" ht="15" hidden="false" customHeight="false" outlineLevel="0" collapsed="false">
      <c r="A434" s="2" t="s">
        <v>1893</v>
      </c>
      <c r="B434" s="2" t="s">
        <v>1894</v>
      </c>
      <c r="C434" s="2" t="s">
        <v>2220</v>
      </c>
      <c r="D434" s="2" t="s">
        <v>2224</v>
      </c>
      <c r="E434" s="2" t="s">
        <v>1931</v>
      </c>
      <c r="F434" s="2" t="s">
        <v>2197</v>
      </c>
      <c r="G434" s="5" t="n">
        <v>46287</v>
      </c>
      <c r="H434" s="5" t="n">
        <v>46317</v>
      </c>
      <c r="I434" s="2" t="n">
        <v>30</v>
      </c>
      <c r="J434" s="2" t="s">
        <v>41</v>
      </c>
      <c r="K434" s="6" t="n">
        <v>216080.04</v>
      </c>
      <c r="L434" s="2" t="s">
        <v>43</v>
      </c>
      <c r="M434" s="2" t="s">
        <v>1934</v>
      </c>
      <c r="N434" s="2"/>
      <c r="O434" s="7" t="b">
        <f aca="false">FALSE()</f>
        <v>0</v>
      </c>
      <c r="P434" s="2" t="n">
        <v>-22</v>
      </c>
      <c r="Q434" s="2" t="s">
        <v>2209</v>
      </c>
      <c r="R434" s="2"/>
    </row>
    <row r="435" customFormat="false" ht="15" hidden="false" customHeight="false" outlineLevel="0" collapsed="false">
      <c r="A435" s="2" t="s">
        <v>1936</v>
      </c>
      <c r="B435" s="2" t="s">
        <v>1937</v>
      </c>
      <c r="C435" s="2" t="s">
        <v>2229</v>
      </c>
      <c r="D435" s="2" t="s">
        <v>2215</v>
      </c>
      <c r="E435" s="2" t="s">
        <v>1938</v>
      </c>
      <c r="F435" s="2" t="s">
        <v>2197</v>
      </c>
      <c r="G435" s="5" t="n">
        <v>46152</v>
      </c>
      <c r="H435" s="5" t="n">
        <v>46197</v>
      </c>
      <c r="I435" s="2" t="n">
        <v>45</v>
      </c>
      <c r="J435" s="2" t="s">
        <v>41</v>
      </c>
      <c r="K435" s="6" t="n">
        <v>43710.86</v>
      </c>
      <c r="L435" s="2" t="s">
        <v>502</v>
      </c>
      <c r="M435" s="2"/>
      <c r="N435" s="2"/>
      <c r="O435" s="7" t="b">
        <f aca="false">FALSE()</f>
        <v>0</v>
      </c>
      <c r="P435" s="2" t="n">
        <v>98</v>
      </c>
      <c r="Q435" s="2" t="s">
        <v>2201</v>
      </c>
      <c r="R435" s="2"/>
    </row>
    <row r="436" customFormat="false" ht="15" hidden="false" customHeight="false" outlineLevel="0" collapsed="false">
      <c r="A436" s="2" t="s">
        <v>1936</v>
      </c>
      <c r="B436" s="2" t="s">
        <v>1937</v>
      </c>
      <c r="C436" s="2" t="s">
        <v>2229</v>
      </c>
      <c r="D436" s="2" t="s">
        <v>2215</v>
      </c>
      <c r="E436" s="2" t="s">
        <v>1940</v>
      </c>
      <c r="F436" s="2" t="s">
        <v>2206</v>
      </c>
      <c r="G436" s="5" t="n">
        <v>46228</v>
      </c>
      <c r="H436" s="5" t="n">
        <v>46273</v>
      </c>
      <c r="I436" s="2" t="n">
        <v>45</v>
      </c>
      <c r="J436" s="2" t="s">
        <v>41</v>
      </c>
      <c r="K436" s="6" t="n">
        <v>20341.7</v>
      </c>
      <c r="L436" s="2" t="s">
        <v>502</v>
      </c>
      <c r="M436" s="2" t="s">
        <v>1942</v>
      </c>
      <c r="N436" s="2"/>
      <c r="O436" s="7" t="b">
        <f aca="false">FALSE()</f>
        <v>0</v>
      </c>
      <c r="P436" s="2" t="n">
        <v>22</v>
      </c>
      <c r="Q436" s="2" t="s">
        <v>2207</v>
      </c>
      <c r="R436" s="2"/>
    </row>
    <row r="437" customFormat="false" ht="15" hidden="false" customHeight="false" outlineLevel="0" collapsed="false">
      <c r="A437" s="2" t="s">
        <v>1936</v>
      </c>
      <c r="B437" s="2" t="s">
        <v>1937</v>
      </c>
      <c r="C437" s="2" t="s">
        <v>2229</v>
      </c>
      <c r="D437" s="2" t="s">
        <v>2215</v>
      </c>
      <c r="E437" s="2" t="s">
        <v>1943</v>
      </c>
      <c r="F437" s="2" t="s">
        <v>2197</v>
      </c>
      <c r="G437" s="5" t="n">
        <v>46252</v>
      </c>
      <c r="H437" s="5" t="n">
        <v>46297</v>
      </c>
      <c r="I437" s="2" t="n">
        <v>45</v>
      </c>
      <c r="J437" s="2" t="s">
        <v>41</v>
      </c>
      <c r="K437" s="6" t="n">
        <v>49350</v>
      </c>
      <c r="L437" s="2" t="s">
        <v>502</v>
      </c>
      <c r="M437" s="2" t="s">
        <v>1946</v>
      </c>
      <c r="N437" s="2"/>
      <c r="O437" s="7" t="b">
        <f aca="false">FALSE()</f>
        <v>0</v>
      </c>
      <c r="P437" s="2" t="n">
        <v>-2</v>
      </c>
      <c r="Q437" s="2" t="s">
        <v>2209</v>
      </c>
      <c r="R437" s="2"/>
    </row>
    <row r="438" customFormat="false" ht="15" hidden="false" customHeight="false" outlineLevel="0" collapsed="false">
      <c r="A438" s="2" t="s">
        <v>1936</v>
      </c>
      <c r="B438" s="2" t="s">
        <v>1937</v>
      </c>
      <c r="C438" s="2" t="s">
        <v>2229</v>
      </c>
      <c r="D438" s="2" t="s">
        <v>2215</v>
      </c>
      <c r="E438" s="2" t="s">
        <v>1947</v>
      </c>
      <c r="F438" s="2" t="s">
        <v>2197</v>
      </c>
      <c r="G438" s="5" t="n">
        <v>46263</v>
      </c>
      <c r="H438" s="5" t="n">
        <v>46308</v>
      </c>
      <c r="I438" s="2" t="n">
        <v>45</v>
      </c>
      <c r="J438" s="2" t="s">
        <v>41</v>
      </c>
      <c r="K438" s="6" t="n">
        <v>312346</v>
      </c>
      <c r="L438" s="2" t="s">
        <v>502</v>
      </c>
      <c r="M438" s="2" t="s">
        <v>1949</v>
      </c>
      <c r="N438" s="2"/>
      <c r="O438" s="7" t="b">
        <f aca="false">FALSE()</f>
        <v>0</v>
      </c>
      <c r="P438" s="2" t="n">
        <v>-13</v>
      </c>
      <c r="Q438" s="2" t="s">
        <v>2209</v>
      </c>
      <c r="R438" s="2"/>
    </row>
    <row r="439" customFormat="false" ht="15" hidden="false" customHeight="false" outlineLevel="0" collapsed="false">
      <c r="A439" s="2" t="s">
        <v>1936</v>
      </c>
      <c r="B439" s="2" t="s">
        <v>1937</v>
      </c>
      <c r="C439" s="2" t="s">
        <v>2229</v>
      </c>
      <c r="D439" s="2" t="s">
        <v>2215</v>
      </c>
      <c r="E439" s="2" t="s">
        <v>1950</v>
      </c>
      <c r="F439" s="2" t="s">
        <v>2197</v>
      </c>
      <c r="G439" s="5" t="n">
        <v>46269</v>
      </c>
      <c r="H439" s="5" t="n">
        <v>46314</v>
      </c>
      <c r="I439" s="2" t="n">
        <v>45</v>
      </c>
      <c r="J439" s="2" t="s">
        <v>41</v>
      </c>
      <c r="K439" s="6" t="n">
        <v>122112</v>
      </c>
      <c r="L439" s="2" t="s">
        <v>502</v>
      </c>
      <c r="M439" s="2" t="s">
        <v>1952</v>
      </c>
      <c r="N439" s="2"/>
      <c r="O439" s="7" t="b">
        <f aca="false">FALSE()</f>
        <v>0</v>
      </c>
      <c r="P439" s="2" t="n">
        <v>-19</v>
      </c>
      <c r="Q439" s="2" t="s">
        <v>2209</v>
      </c>
      <c r="R439" s="2"/>
    </row>
    <row r="440" customFormat="false" ht="15" hidden="false" customHeight="false" outlineLevel="0" collapsed="false">
      <c r="A440" s="2" t="s">
        <v>1954</v>
      </c>
      <c r="B440" s="2" t="s">
        <v>1955</v>
      </c>
      <c r="C440" s="2" t="s">
        <v>2213</v>
      </c>
      <c r="D440" s="2" t="s">
        <v>2215</v>
      </c>
      <c r="E440" s="2" t="s">
        <v>1956</v>
      </c>
      <c r="F440" s="2" t="s">
        <v>2197</v>
      </c>
      <c r="G440" s="5" t="n">
        <v>46114</v>
      </c>
      <c r="H440" s="5" t="n">
        <v>46159</v>
      </c>
      <c r="I440" s="2" t="n">
        <v>45</v>
      </c>
      <c r="J440" s="2" t="s">
        <v>41</v>
      </c>
      <c r="K440" s="6" t="n">
        <v>121409.66</v>
      </c>
      <c r="L440" s="2" t="s">
        <v>43</v>
      </c>
      <c r="M440" s="2"/>
      <c r="N440" s="2"/>
      <c r="O440" s="7" t="b">
        <f aca="false">FALSE()</f>
        <v>0</v>
      </c>
      <c r="P440" s="2" t="n">
        <v>136</v>
      </c>
      <c r="Q440" s="2" t="s">
        <v>2201</v>
      </c>
      <c r="R440" s="2"/>
    </row>
    <row r="441" customFormat="false" ht="15" hidden="false" customHeight="false" outlineLevel="0" collapsed="false">
      <c r="A441" s="2" t="s">
        <v>1954</v>
      </c>
      <c r="B441" s="2" t="s">
        <v>1955</v>
      </c>
      <c r="C441" s="2" t="s">
        <v>2213</v>
      </c>
      <c r="D441" s="2" t="s">
        <v>2215</v>
      </c>
      <c r="E441" s="2" t="s">
        <v>1960</v>
      </c>
      <c r="F441" s="2" t="s">
        <v>2197</v>
      </c>
      <c r="G441" s="5" t="n">
        <v>46134</v>
      </c>
      <c r="H441" s="5" t="n">
        <v>46179</v>
      </c>
      <c r="I441" s="2" t="n">
        <v>45</v>
      </c>
      <c r="J441" s="2" t="s">
        <v>41</v>
      </c>
      <c r="K441" s="6" t="n">
        <v>196784</v>
      </c>
      <c r="L441" s="2" t="s">
        <v>43</v>
      </c>
      <c r="M441" s="2" t="s">
        <v>1308</v>
      </c>
      <c r="N441" s="2" t="s">
        <v>1904</v>
      </c>
      <c r="O441" s="7" t="b">
        <f aca="false">TRUE()</f>
        <v>1</v>
      </c>
      <c r="P441" s="2" t="n">
        <v>116</v>
      </c>
      <c r="Q441" s="2" t="s">
        <v>2201</v>
      </c>
      <c r="R441" s="2"/>
    </row>
    <row r="442" customFormat="false" ht="15" hidden="false" customHeight="false" outlineLevel="0" collapsed="false">
      <c r="A442" s="2" t="s">
        <v>1954</v>
      </c>
      <c r="B442" s="2" t="s">
        <v>1955</v>
      </c>
      <c r="C442" s="2" t="s">
        <v>2213</v>
      </c>
      <c r="D442" s="2" t="s">
        <v>2215</v>
      </c>
      <c r="E442" s="2" t="s">
        <v>1962</v>
      </c>
      <c r="F442" s="2" t="s">
        <v>2212</v>
      </c>
      <c r="G442" s="5" t="n">
        <v>46235</v>
      </c>
      <c r="H442" s="5" t="n">
        <v>46235</v>
      </c>
      <c r="I442" s="2" t="n">
        <v>0</v>
      </c>
      <c r="J442" s="2" t="s">
        <v>41</v>
      </c>
      <c r="K442" s="6" t="n">
        <v>-78000</v>
      </c>
      <c r="L442" s="2" t="s">
        <v>43</v>
      </c>
      <c r="M442" s="2"/>
      <c r="N442" s="2"/>
      <c r="O442" s="7" t="b">
        <f aca="false">FALSE()</f>
        <v>0</v>
      </c>
      <c r="P442" s="2" t="n">
        <v>60</v>
      </c>
      <c r="Q442" s="2" t="s">
        <v>2205</v>
      </c>
      <c r="R442" s="2"/>
    </row>
    <row r="443" customFormat="false" ht="15" hidden="false" customHeight="false" outlineLevel="0" collapsed="false">
      <c r="A443" s="2" t="s">
        <v>1954</v>
      </c>
      <c r="B443" s="2" t="s">
        <v>1955</v>
      </c>
      <c r="C443" s="2" t="s">
        <v>2213</v>
      </c>
      <c r="D443" s="2" t="s">
        <v>2215</v>
      </c>
      <c r="E443" s="2" t="s">
        <v>1964</v>
      </c>
      <c r="F443" s="2" t="s">
        <v>2197</v>
      </c>
      <c r="G443" s="5" t="n">
        <v>46246</v>
      </c>
      <c r="H443" s="5" t="n">
        <v>46291</v>
      </c>
      <c r="I443" s="2" t="n">
        <v>45</v>
      </c>
      <c r="J443" s="2" t="s">
        <v>41</v>
      </c>
      <c r="K443" s="6" t="n">
        <v>43680</v>
      </c>
      <c r="L443" s="2" t="s">
        <v>43</v>
      </c>
      <c r="M443" s="2" t="s">
        <v>1967</v>
      </c>
      <c r="N443" s="2"/>
      <c r="O443" s="7" t="b">
        <f aca="false">FALSE()</f>
        <v>0</v>
      </c>
      <c r="P443" s="2" t="n">
        <v>4</v>
      </c>
      <c r="Q443" s="2" t="s">
        <v>2207</v>
      </c>
      <c r="R443" s="2"/>
    </row>
    <row r="444" customFormat="false" ht="15" hidden="false" customHeight="false" outlineLevel="0" collapsed="false">
      <c r="A444" s="2" t="s">
        <v>1954</v>
      </c>
      <c r="B444" s="2" t="s">
        <v>1955</v>
      </c>
      <c r="C444" s="2" t="s">
        <v>2213</v>
      </c>
      <c r="D444" s="2" t="s">
        <v>2215</v>
      </c>
      <c r="E444" s="2" t="s">
        <v>1968</v>
      </c>
      <c r="F444" s="2" t="s">
        <v>2197</v>
      </c>
      <c r="G444" s="5" t="n">
        <v>46269</v>
      </c>
      <c r="H444" s="5" t="n">
        <v>46314</v>
      </c>
      <c r="I444" s="2" t="n">
        <v>45</v>
      </c>
      <c r="J444" s="2" t="s">
        <v>41</v>
      </c>
      <c r="K444" s="6" t="n">
        <v>166575.02</v>
      </c>
      <c r="L444" s="2" t="s">
        <v>43</v>
      </c>
      <c r="M444" s="2" t="s">
        <v>1970</v>
      </c>
      <c r="N444" s="2"/>
      <c r="O444" s="7" t="b">
        <f aca="false">FALSE()</f>
        <v>0</v>
      </c>
      <c r="P444" s="2" t="n">
        <v>-19</v>
      </c>
      <c r="Q444" s="2" t="s">
        <v>2209</v>
      </c>
      <c r="R444" s="2"/>
    </row>
    <row r="445" customFormat="false" ht="15" hidden="false" customHeight="false" outlineLevel="0" collapsed="false">
      <c r="A445" s="2" t="s">
        <v>1954</v>
      </c>
      <c r="B445" s="2" t="s">
        <v>1955</v>
      </c>
      <c r="C445" s="2" t="s">
        <v>2213</v>
      </c>
      <c r="D445" s="2" t="s">
        <v>2215</v>
      </c>
      <c r="E445" s="2" t="s">
        <v>1971</v>
      </c>
      <c r="F445" s="2" t="s">
        <v>2197</v>
      </c>
      <c r="G445" s="5" t="n">
        <v>46273</v>
      </c>
      <c r="H445" s="5" t="n">
        <v>46318</v>
      </c>
      <c r="I445" s="2" t="n">
        <v>45</v>
      </c>
      <c r="J445" s="2" t="s">
        <v>41</v>
      </c>
      <c r="K445" s="6" t="n">
        <v>453120</v>
      </c>
      <c r="L445" s="2" t="s">
        <v>43</v>
      </c>
      <c r="M445" s="2" t="s">
        <v>1973</v>
      </c>
      <c r="N445" s="2"/>
      <c r="O445" s="7" t="b">
        <f aca="false">FALSE()</f>
        <v>0</v>
      </c>
      <c r="P445" s="2" t="n">
        <v>-23</v>
      </c>
      <c r="Q445" s="2" t="s">
        <v>2209</v>
      </c>
      <c r="R445" s="2"/>
    </row>
    <row r="446" customFormat="false" ht="15" hidden="false" customHeight="false" outlineLevel="0" collapsed="false">
      <c r="A446" s="2" t="s">
        <v>1954</v>
      </c>
      <c r="B446" s="2" t="s">
        <v>1955</v>
      </c>
      <c r="C446" s="2" t="s">
        <v>2213</v>
      </c>
      <c r="D446" s="2" t="s">
        <v>2215</v>
      </c>
      <c r="E446" s="2" t="s">
        <v>2307</v>
      </c>
      <c r="F446" s="2" t="s">
        <v>2197</v>
      </c>
      <c r="G446" s="5" t="n">
        <v>46274</v>
      </c>
      <c r="H446" s="5" t="n">
        <v>46319</v>
      </c>
      <c r="I446" s="2" t="n">
        <v>45</v>
      </c>
      <c r="J446" s="2" t="s">
        <v>41</v>
      </c>
      <c r="K446" s="6" t="n">
        <v>74712.23</v>
      </c>
      <c r="L446" s="2" t="s">
        <v>43</v>
      </c>
      <c r="M446" s="2" t="s">
        <v>1978</v>
      </c>
      <c r="N446" s="2"/>
      <c r="O446" s="7" t="b">
        <f aca="false">FALSE()</f>
        <v>0</v>
      </c>
      <c r="P446" s="2" t="n">
        <v>-24</v>
      </c>
      <c r="Q446" s="2" t="s">
        <v>2209</v>
      </c>
      <c r="R446" s="2"/>
    </row>
    <row r="447" customFormat="false" ht="15" hidden="false" customHeight="false" outlineLevel="0" collapsed="false">
      <c r="A447" s="2" t="s">
        <v>1954</v>
      </c>
      <c r="B447" s="2" t="s">
        <v>1955</v>
      </c>
      <c r="C447" s="2" t="s">
        <v>2213</v>
      </c>
      <c r="D447" s="2" t="s">
        <v>2215</v>
      </c>
      <c r="E447" s="2" t="s">
        <v>2308</v>
      </c>
      <c r="F447" s="2" t="s">
        <v>2197</v>
      </c>
      <c r="G447" s="5" t="n">
        <v>46294</v>
      </c>
      <c r="H447" s="5" t="n">
        <v>46339</v>
      </c>
      <c r="I447" s="2" t="n">
        <v>45</v>
      </c>
      <c r="J447" s="2" t="s">
        <v>41</v>
      </c>
      <c r="K447" s="6" t="n">
        <v>15810.68</v>
      </c>
      <c r="L447" s="2" t="s">
        <v>43</v>
      </c>
      <c r="M447" s="2" t="s">
        <v>1981</v>
      </c>
      <c r="N447" s="2"/>
      <c r="O447" s="7" t="b">
        <f aca="false">FALSE()</f>
        <v>0</v>
      </c>
      <c r="P447" s="2" t="n">
        <v>-44</v>
      </c>
      <c r="Q447" s="2" t="s">
        <v>2209</v>
      </c>
      <c r="R447" s="2"/>
    </row>
    <row r="448" customFormat="false" ht="15" hidden="false" customHeight="false" outlineLevel="0" collapsed="false">
      <c r="A448" s="2" t="s">
        <v>1983</v>
      </c>
      <c r="B448" s="2" t="s">
        <v>2309</v>
      </c>
      <c r="C448" s="2" t="s">
        <v>2298</v>
      </c>
      <c r="D448" s="2" t="s">
        <v>2227</v>
      </c>
      <c r="E448" s="2" t="s">
        <v>1985</v>
      </c>
      <c r="F448" s="2" t="s">
        <v>2197</v>
      </c>
      <c r="G448" s="5" t="n">
        <v>46194</v>
      </c>
      <c r="H448" s="5" t="n">
        <v>46239</v>
      </c>
      <c r="I448" s="2" t="n">
        <v>45</v>
      </c>
      <c r="J448" s="2" t="s">
        <v>41</v>
      </c>
      <c r="K448" s="6" t="n">
        <v>115200</v>
      </c>
      <c r="L448" s="2" t="s">
        <v>43</v>
      </c>
      <c r="M448" s="2" t="s">
        <v>307</v>
      </c>
      <c r="N448" s="2"/>
      <c r="O448" s="7" t="b">
        <f aca="false">FALSE()</f>
        <v>0</v>
      </c>
      <c r="P448" s="2" t="n">
        <v>56</v>
      </c>
      <c r="Q448" s="2" t="s">
        <v>2205</v>
      </c>
      <c r="R448" s="2"/>
    </row>
    <row r="449" customFormat="false" ht="15" hidden="false" customHeight="false" outlineLevel="0" collapsed="false">
      <c r="A449" s="2" t="s">
        <v>1983</v>
      </c>
      <c r="B449" s="2" t="s">
        <v>2309</v>
      </c>
      <c r="C449" s="2" t="s">
        <v>2298</v>
      </c>
      <c r="D449" s="2" t="s">
        <v>2227</v>
      </c>
      <c r="E449" s="2" t="s">
        <v>1991</v>
      </c>
      <c r="F449" s="2" t="s">
        <v>2197</v>
      </c>
      <c r="G449" s="5" t="n">
        <v>46201</v>
      </c>
      <c r="H449" s="5" t="n">
        <v>46246</v>
      </c>
      <c r="I449" s="2" t="n">
        <v>45</v>
      </c>
      <c r="J449" s="2" t="s">
        <v>41</v>
      </c>
      <c r="K449" s="6" t="n">
        <v>37670.52</v>
      </c>
      <c r="L449" s="2" t="s">
        <v>43</v>
      </c>
      <c r="M449" s="2"/>
      <c r="N449" s="2"/>
      <c r="O449" s="7" t="b">
        <f aca="false">FALSE()</f>
        <v>0</v>
      </c>
      <c r="P449" s="2" t="n">
        <v>49</v>
      </c>
      <c r="Q449" s="2" t="s">
        <v>2205</v>
      </c>
      <c r="R449" s="2"/>
    </row>
    <row r="450" customFormat="false" ht="15" hidden="false" customHeight="false" outlineLevel="0" collapsed="false">
      <c r="A450" s="2" t="s">
        <v>1983</v>
      </c>
      <c r="B450" s="2" t="s">
        <v>2309</v>
      </c>
      <c r="C450" s="2" t="s">
        <v>2298</v>
      </c>
      <c r="D450" s="2" t="s">
        <v>2227</v>
      </c>
      <c r="E450" s="2" t="s">
        <v>1987</v>
      </c>
      <c r="F450" s="2" t="s">
        <v>2222</v>
      </c>
      <c r="G450" s="5" t="n">
        <v>46201</v>
      </c>
      <c r="H450" s="5" t="n">
        <v>46201</v>
      </c>
      <c r="I450" s="2" t="n">
        <v>0</v>
      </c>
      <c r="J450" s="2" t="s">
        <v>41</v>
      </c>
      <c r="K450" s="6" t="n">
        <v>-393000</v>
      </c>
      <c r="L450" s="2" t="s">
        <v>43</v>
      </c>
      <c r="M450" s="2" t="s">
        <v>1990</v>
      </c>
      <c r="N450" s="2"/>
      <c r="O450" s="7" t="b">
        <f aca="false">FALSE()</f>
        <v>0</v>
      </c>
      <c r="P450" s="2" t="n">
        <v>94</v>
      </c>
      <c r="Q450" s="2" t="s">
        <v>2201</v>
      </c>
      <c r="R450" s="2" t="s">
        <v>2223</v>
      </c>
    </row>
    <row r="451" customFormat="false" ht="15" hidden="false" customHeight="false" outlineLevel="0" collapsed="false">
      <c r="A451" s="2" t="s">
        <v>1983</v>
      </c>
      <c r="B451" s="2" t="s">
        <v>2309</v>
      </c>
      <c r="C451" s="2" t="s">
        <v>2298</v>
      </c>
      <c r="D451" s="2" t="s">
        <v>2227</v>
      </c>
      <c r="E451" s="2" t="s">
        <v>1993</v>
      </c>
      <c r="F451" s="2" t="s">
        <v>2197</v>
      </c>
      <c r="G451" s="5" t="n">
        <v>46217</v>
      </c>
      <c r="H451" s="5" t="n">
        <v>46262</v>
      </c>
      <c r="I451" s="2" t="n">
        <v>45</v>
      </c>
      <c r="J451" s="2" t="s">
        <v>41</v>
      </c>
      <c r="K451" s="6" t="n">
        <v>34692</v>
      </c>
      <c r="L451" s="2" t="s">
        <v>43</v>
      </c>
      <c r="M451" s="2" t="s">
        <v>1996</v>
      </c>
      <c r="N451" s="2"/>
      <c r="O451" s="7" t="b">
        <f aca="false">FALSE()</f>
        <v>0</v>
      </c>
      <c r="P451" s="2" t="n">
        <v>33</v>
      </c>
      <c r="Q451" s="2" t="s">
        <v>2205</v>
      </c>
      <c r="R451" s="2"/>
    </row>
    <row r="452" customFormat="false" ht="15" hidden="false" customHeight="false" outlineLevel="0" collapsed="false">
      <c r="A452" s="2" t="s">
        <v>1983</v>
      </c>
      <c r="B452" s="2" t="s">
        <v>2309</v>
      </c>
      <c r="C452" s="2" t="s">
        <v>2298</v>
      </c>
      <c r="D452" s="2" t="s">
        <v>2227</v>
      </c>
      <c r="E452" s="2" t="s">
        <v>1997</v>
      </c>
      <c r="F452" s="2" t="s">
        <v>2197</v>
      </c>
      <c r="G452" s="5" t="n">
        <v>46218</v>
      </c>
      <c r="H452" s="5" t="n">
        <v>46263</v>
      </c>
      <c r="I452" s="2" t="n">
        <v>45</v>
      </c>
      <c r="J452" s="2" t="s">
        <v>41</v>
      </c>
      <c r="K452" s="6" t="n">
        <v>39766</v>
      </c>
      <c r="L452" s="2" t="s">
        <v>43</v>
      </c>
      <c r="M452" s="2" t="s">
        <v>1999</v>
      </c>
      <c r="N452" s="2"/>
      <c r="O452" s="7" t="b">
        <f aca="false">FALSE()</f>
        <v>0</v>
      </c>
      <c r="P452" s="2" t="n">
        <v>32</v>
      </c>
      <c r="Q452" s="2" t="s">
        <v>2205</v>
      </c>
      <c r="R452" s="2"/>
    </row>
    <row r="453" customFormat="false" ht="15" hidden="false" customHeight="false" outlineLevel="0" collapsed="false">
      <c r="A453" s="2" t="s">
        <v>1983</v>
      </c>
      <c r="B453" s="2" t="s">
        <v>2309</v>
      </c>
      <c r="C453" s="2" t="s">
        <v>2298</v>
      </c>
      <c r="D453" s="2" t="s">
        <v>2227</v>
      </c>
      <c r="E453" s="2" t="s">
        <v>2000</v>
      </c>
      <c r="F453" s="2" t="s">
        <v>2197</v>
      </c>
      <c r="G453" s="5" t="n">
        <v>46255</v>
      </c>
      <c r="H453" s="5" t="n">
        <v>46300</v>
      </c>
      <c r="I453" s="2" t="n">
        <v>45</v>
      </c>
      <c r="J453" s="2" t="s">
        <v>41</v>
      </c>
      <c r="K453" s="6" t="n">
        <v>46610</v>
      </c>
      <c r="L453" s="2" t="s">
        <v>43</v>
      </c>
      <c r="M453" s="2"/>
      <c r="N453" s="2"/>
      <c r="O453" s="7" t="b">
        <f aca="false">FALSE()</f>
        <v>0</v>
      </c>
      <c r="P453" s="2" t="n">
        <v>-5</v>
      </c>
      <c r="Q453" s="2" t="s">
        <v>2209</v>
      </c>
      <c r="R453" s="2" t="s">
        <v>2200</v>
      </c>
    </row>
    <row r="454" customFormat="false" ht="15" hidden="false" customHeight="false" outlineLevel="0" collapsed="false">
      <c r="A454" s="2" t="s">
        <v>2042</v>
      </c>
      <c r="B454" s="2" t="s">
        <v>2006</v>
      </c>
      <c r="C454" s="2" t="s">
        <v>2210</v>
      </c>
      <c r="D454" s="2" t="s">
        <v>2215</v>
      </c>
      <c r="E454" s="2" t="s">
        <v>2011</v>
      </c>
      <c r="F454" s="2" t="s">
        <v>2197</v>
      </c>
      <c r="G454" s="5" t="n">
        <v>45960</v>
      </c>
      <c r="H454" s="5" t="n">
        <v>46020</v>
      </c>
      <c r="I454" s="2" t="n">
        <v>60</v>
      </c>
      <c r="J454" s="2" t="s">
        <v>41</v>
      </c>
      <c r="K454" s="6" t="n">
        <v>292008.81</v>
      </c>
      <c r="L454" s="2" t="s">
        <v>137</v>
      </c>
      <c r="M454" s="2" t="s">
        <v>2014</v>
      </c>
      <c r="N454" s="2"/>
      <c r="O454" s="7" t="b">
        <f aca="false">FALSE()</f>
        <v>0</v>
      </c>
      <c r="P454" s="2" t="n">
        <v>275</v>
      </c>
      <c r="Q454" s="2" t="s">
        <v>2198</v>
      </c>
      <c r="R454" s="2"/>
    </row>
    <row r="455" customFormat="false" ht="15" hidden="false" customHeight="false" outlineLevel="0" collapsed="false">
      <c r="A455" s="2" t="s">
        <v>2042</v>
      </c>
      <c r="B455" s="2" t="s">
        <v>2006</v>
      </c>
      <c r="C455" s="2" t="s">
        <v>2210</v>
      </c>
      <c r="D455" s="2" t="s">
        <v>2215</v>
      </c>
      <c r="E455" s="2" t="s">
        <v>2007</v>
      </c>
      <c r="F455" s="2" t="s">
        <v>2197</v>
      </c>
      <c r="G455" s="5" t="n">
        <v>46016</v>
      </c>
      <c r="H455" s="5" t="n">
        <v>46076</v>
      </c>
      <c r="I455" s="2" t="n">
        <v>60</v>
      </c>
      <c r="J455" s="2" t="s">
        <v>41</v>
      </c>
      <c r="K455" s="6" t="n">
        <v>50976</v>
      </c>
      <c r="L455" s="2" t="s">
        <v>137</v>
      </c>
      <c r="M455" s="2" t="s">
        <v>2010</v>
      </c>
      <c r="N455" s="2"/>
      <c r="O455" s="7" t="b">
        <f aca="false">FALSE()</f>
        <v>0</v>
      </c>
      <c r="P455" s="2" t="n">
        <v>219</v>
      </c>
      <c r="Q455" s="2" t="s">
        <v>2198</v>
      </c>
      <c r="R455" s="2"/>
    </row>
    <row r="456" customFormat="false" ht="15" hidden="false" customHeight="false" outlineLevel="0" collapsed="false">
      <c r="A456" s="2" t="s">
        <v>2042</v>
      </c>
      <c r="B456" s="2" t="s">
        <v>2006</v>
      </c>
      <c r="C456" s="2" t="s">
        <v>2210</v>
      </c>
      <c r="D456" s="2" t="s">
        <v>2215</v>
      </c>
      <c r="E456" s="2" t="s">
        <v>2015</v>
      </c>
      <c r="F456" s="2" t="s">
        <v>2197</v>
      </c>
      <c r="G456" s="5" t="n">
        <v>46062</v>
      </c>
      <c r="H456" s="5" t="n">
        <v>46122</v>
      </c>
      <c r="I456" s="2" t="n">
        <v>60</v>
      </c>
      <c r="J456" s="2" t="s">
        <v>41</v>
      </c>
      <c r="K456" s="6" t="n">
        <v>9204</v>
      </c>
      <c r="L456" s="2" t="s">
        <v>137</v>
      </c>
      <c r="M456" s="2"/>
      <c r="N456" s="2" t="s">
        <v>549</v>
      </c>
      <c r="O456" s="7" t="b">
        <f aca="false">FALSE()</f>
        <v>0</v>
      </c>
      <c r="P456" s="2" t="n">
        <v>173</v>
      </c>
      <c r="Q456" s="2" t="s">
        <v>2201</v>
      </c>
      <c r="R456" s="2"/>
    </row>
    <row r="457" customFormat="false" ht="15" hidden="false" customHeight="false" outlineLevel="0" collapsed="false">
      <c r="A457" s="2" t="s">
        <v>2042</v>
      </c>
      <c r="B457" s="2" t="s">
        <v>2006</v>
      </c>
      <c r="C457" s="2" t="s">
        <v>2210</v>
      </c>
      <c r="D457" s="2" t="s">
        <v>2215</v>
      </c>
      <c r="E457" s="2" t="s">
        <v>2017</v>
      </c>
      <c r="F457" s="2" t="s">
        <v>2197</v>
      </c>
      <c r="G457" s="5" t="n">
        <v>46152</v>
      </c>
      <c r="H457" s="5" t="n">
        <v>46212</v>
      </c>
      <c r="I457" s="2" t="n">
        <v>60</v>
      </c>
      <c r="J457" s="2" t="s">
        <v>41</v>
      </c>
      <c r="K457" s="6" t="n">
        <v>250160</v>
      </c>
      <c r="L457" s="2" t="s">
        <v>137</v>
      </c>
      <c r="M457" s="2" t="s">
        <v>2019</v>
      </c>
      <c r="N457" s="2"/>
      <c r="O457" s="7" t="b">
        <f aca="false">FALSE()</f>
        <v>0</v>
      </c>
      <c r="P457" s="2" t="n">
        <v>83</v>
      </c>
      <c r="Q457" s="2" t="s">
        <v>2203</v>
      </c>
      <c r="R457" s="2"/>
    </row>
    <row r="458" customFormat="false" ht="15" hidden="false" customHeight="false" outlineLevel="0" collapsed="false">
      <c r="A458" s="2" t="s">
        <v>2042</v>
      </c>
      <c r="B458" s="2" t="s">
        <v>2006</v>
      </c>
      <c r="C458" s="2" t="s">
        <v>2210</v>
      </c>
      <c r="D458" s="2" t="s">
        <v>2215</v>
      </c>
      <c r="E458" s="2" t="s">
        <v>2020</v>
      </c>
      <c r="F458" s="2" t="s">
        <v>2197</v>
      </c>
      <c r="G458" s="5" t="n">
        <v>46197</v>
      </c>
      <c r="H458" s="5" t="n">
        <v>46257</v>
      </c>
      <c r="I458" s="2" t="n">
        <v>60</v>
      </c>
      <c r="J458" s="2" t="s">
        <v>41</v>
      </c>
      <c r="K458" s="6" t="n">
        <v>56647.36</v>
      </c>
      <c r="L458" s="2" t="s">
        <v>137</v>
      </c>
      <c r="M458" s="2"/>
      <c r="N458" s="2"/>
      <c r="O458" s="7" t="b">
        <f aca="false">FALSE()</f>
        <v>0</v>
      </c>
      <c r="P458" s="2" t="n">
        <v>38</v>
      </c>
      <c r="Q458" s="2" t="s">
        <v>2205</v>
      </c>
      <c r="R458" s="2" t="s">
        <v>2208</v>
      </c>
    </row>
    <row r="459" customFormat="false" ht="15" hidden="false" customHeight="false" outlineLevel="0" collapsed="false">
      <c r="A459" s="2" t="s">
        <v>2042</v>
      </c>
      <c r="B459" s="2" t="s">
        <v>2006</v>
      </c>
      <c r="C459" s="2" t="s">
        <v>2210</v>
      </c>
      <c r="D459" s="2" t="s">
        <v>2215</v>
      </c>
      <c r="E459" s="2" t="s">
        <v>2310</v>
      </c>
      <c r="F459" s="2" t="s">
        <v>2197</v>
      </c>
      <c r="G459" s="5" t="n">
        <v>46206</v>
      </c>
      <c r="H459" s="5" t="n">
        <v>46266</v>
      </c>
      <c r="I459" s="2" t="n">
        <v>60</v>
      </c>
      <c r="J459" s="2" t="s">
        <v>41</v>
      </c>
      <c r="K459" s="6" t="n">
        <v>447928</v>
      </c>
      <c r="L459" s="2" t="s">
        <v>137</v>
      </c>
      <c r="M459" s="2" t="s">
        <v>2025</v>
      </c>
      <c r="N459" s="2"/>
      <c r="O459" s="7" t="b">
        <f aca="false">FALSE()</f>
        <v>0</v>
      </c>
      <c r="P459" s="2" t="n">
        <v>29</v>
      </c>
      <c r="Q459" s="2" t="s">
        <v>2207</v>
      </c>
      <c r="R459" s="2" t="s">
        <v>2200</v>
      </c>
    </row>
    <row r="460" customFormat="false" ht="15" hidden="false" customHeight="false" outlineLevel="0" collapsed="false">
      <c r="A460" s="2" t="s">
        <v>2042</v>
      </c>
      <c r="B460" s="2" t="s">
        <v>2006</v>
      </c>
      <c r="C460" s="2" t="s">
        <v>2210</v>
      </c>
      <c r="D460" s="2" t="s">
        <v>2215</v>
      </c>
      <c r="E460" s="2" t="s">
        <v>2026</v>
      </c>
      <c r="F460" s="2" t="s">
        <v>2197</v>
      </c>
      <c r="G460" s="5" t="n">
        <v>46217</v>
      </c>
      <c r="H460" s="5" t="n">
        <v>46277</v>
      </c>
      <c r="I460" s="2" t="n">
        <v>60</v>
      </c>
      <c r="J460" s="2" t="s">
        <v>41</v>
      </c>
      <c r="K460" s="6" t="n">
        <v>42995.19</v>
      </c>
      <c r="L460" s="2" t="s">
        <v>137</v>
      </c>
      <c r="M460" s="2" t="s">
        <v>2028</v>
      </c>
      <c r="N460" s="2"/>
      <c r="O460" s="7" t="b">
        <f aca="false">FALSE()</f>
        <v>0</v>
      </c>
      <c r="P460" s="2" t="n">
        <v>18</v>
      </c>
      <c r="Q460" s="2" t="s">
        <v>2207</v>
      </c>
      <c r="R460" s="2"/>
    </row>
    <row r="461" customFormat="false" ht="15" hidden="false" customHeight="false" outlineLevel="0" collapsed="false">
      <c r="A461" s="2" t="s">
        <v>2042</v>
      </c>
      <c r="B461" s="2" t="s">
        <v>2006</v>
      </c>
      <c r="C461" s="2" t="s">
        <v>2210</v>
      </c>
      <c r="D461" s="2" t="s">
        <v>2215</v>
      </c>
      <c r="E461" s="2" t="s">
        <v>2031</v>
      </c>
      <c r="F461" s="2" t="s">
        <v>2197</v>
      </c>
      <c r="G461" s="5" t="n">
        <v>46231</v>
      </c>
      <c r="H461" s="5" t="n">
        <v>46291</v>
      </c>
      <c r="I461" s="2" t="n">
        <v>60</v>
      </c>
      <c r="J461" s="2" t="s">
        <v>41</v>
      </c>
      <c r="K461" s="6" t="n">
        <v>42834</v>
      </c>
      <c r="L461" s="2" t="s">
        <v>137</v>
      </c>
      <c r="M461" s="2" t="s">
        <v>2034</v>
      </c>
      <c r="N461" s="2"/>
      <c r="O461" s="7" t="b">
        <f aca="false">FALSE()</f>
        <v>0</v>
      </c>
      <c r="P461" s="2" t="n">
        <v>4</v>
      </c>
      <c r="Q461" s="2" t="s">
        <v>2207</v>
      </c>
      <c r="R461" s="2" t="s">
        <v>2202</v>
      </c>
    </row>
    <row r="462" customFormat="false" ht="15" hidden="false" customHeight="false" outlineLevel="0" collapsed="false">
      <c r="A462" s="2" t="s">
        <v>2042</v>
      </c>
      <c r="B462" s="2" t="s">
        <v>2006</v>
      </c>
      <c r="C462" s="2" t="s">
        <v>2210</v>
      </c>
      <c r="D462" s="2" t="s">
        <v>2215</v>
      </c>
      <c r="E462" s="2" t="s">
        <v>2029</v>
      </c>
      <c r="F462" s="2" t="s">
        <v>2212</v>
      </c>
      <c r="G462" s="5" t="n">
        <v>46272</v>
      </c>
      <c r="H462" s="5" t="n">
        <v>46272</v>
      </c>
      <c r="I462" s="2" t="n">
        <v>0</v>
      </c>
      <c r="J462" s="2" t="s">
        <v>41</v>
      </c>
      <c r="K462" s="6" t="n">
        <v>-22252.43</v>
      </c>
      <c r="L462" s="2" t="s">
        <v>137</v>
      </c>
      <c r="M462" s="2" t="s">
        <v>226</v>
      </c>
      <c r="N462" s="2"/>
      <c r="O462" s="7" t="b">
        <f aca="false">FALSE()</f>
        <v>0</v>
      </c>
      <c r="P462" s="2" t="n">
        <v>23</v>
      </c>
      <c r="Q462" s="2" t="s">
        <v>2207</v>
      </c>
      <c r="R462" s="2" t="s">
        <v>2223</v>
      </c>
    </row>
    <row r="463" customFormat="false" ht="15" hidden="false" customHeight="false" outlineLevel="0" collapsed="false">
      <c r="A463" s="2" t="s">
        <v>2042</v>
      </c>
      <c r="B463" s="2" t="s">
        <v>2006</v>
      </c>
      <c r="C463" s="2" t="s">
        <v>2210</v>
      </c>
      <c r="D463" s="2" t="s">
        <v>2215</v>
      </c>
      <c r="E463" s="2" t="s">
        <v>2035</v>
      </c>
      <c r="F463" s="2" t="s">
        <v>2197</v>
      </c>
      <c r="G463" s="5" t="n">
        <v>46281</v>
      </c>
      <c r="H463" s="5" t="n">
        <v>46341</v>
      </c>
      <c r="I463" s="2" t="n">
        <v>60</v>
      </c>
      <c r="J463" s="2" t="s">
        <v>41</v>
      </c>
      <c r="K463" s="6" t="n">
        <v>99474</v>
      </c>
      <c r="L463" s="2" t="s">
        <v>137</v>
      </c>
      <c r="M463" s="2" t="s">
        <v>2038</v>
      </c>
      <c r="N463" s="2"/>
      <c r="O463" s="7" t="b">
        <f aca="false">FALSE()</f>
        <v>0</v>
      </c>
      <c r="P463" s="2" t="n">
        <v>-46</v>
      </c>
      <c r="Q463" s="2" t="s">
        <v>2209</v>
      </c>
      <c r="R463" s="2"/>
    </row>
    <row r="464" customFormat="false" ht="15" hidden="false" customHeight="false" outlineLevel="0" collapsed="false">
      <c r="A464" s="2" t="s">
        <v>2042</v>
      </c>
      <c r="B464" s="2" t="s">
        <v>2006</v>
      </c>
      <c r="C464" s="2" t="s">
        <v>2210</v>
      </c>
      <c r="D464" s="2" t="s">
        <v>2215</v>
      </c>
      <c r="E464" s="2" t="s">
        <v>2039</v>
      </c>
      <c r="F464" s="2" t="s">
        <v>2212</v>
      </c>
      <c r="G464" s="5" t="n">
        <v>46285</v>
      </c>
      <c r="H464" s="5" t="n">
        <v>46285</v>
      </c>
      <c r="I464" s="2" t="n">
        <v>0</v>
      </c>
      <c r="J464" s="2" t="s">
        <v>41</v>
      </c>
      <c r="K464" s="6" t="n">
        <v>-79400</v>
      </c>
      <c r="L464" s="2" t="s">
        <v>2204</v>
      </c>
      <c r="M464" s="2" t="s">
        <v>226</v>
      </c>
      <c r="N464" s="2"/>
      <c r="O464" s="7" t="b">
        <f aca="false">FALSE()</f>
        <v>0</v>
      </c>
      <c r="P464" s="2" t="n">
        <v>10</v>
      </c>
      <c r="Q464" s="2" t="s">
        <v>2207</v>
      </c>
      <c r="R464" s="2"/>
    </row>
    <row r="465" customFormat="false" ht="15" hidden="false" customHeight="false" outlineLevel="0" collapsed="false">
      <c r="A465" s="2" t="s">
        <v>2042</v>
      </c>
      <c r="B465" s="2" t="s">
        <v>2006</v>
      </c>
      <c r="C465" s="2" t="s">
        <v>2210</v>
      </c>
      <c r="D465" s="2" t="s">
        <v>2215</v>
      </c>
      <c r="E465" s="2" t="s">
        <v>2043</v>
      </c>
      <c r="F465" s="2" t="s">
        <v>2197</v>
      </c>
      <c r="G465" s="5" t="n">
        <v>46286</v>
      </c>
      <c r="H465" s="5" t="n">
        <v>46346</v>
      </c>
      <c r="I465" s="2" t="n">
        <v>60</v>
      </c>
      <c r="J465" s="2" t="s">
        <v>41</v>
      </c>
      <c r="K465" s="6" t="n">
        <v>109740</v>
      </c>
      <c r="L465" s="2" t="s">
        <v>137</v>
      </c>
      <c r="M465" s="2" t="s">
        <v>2045</v>
      </c>
      <c r="N465" s="2"/>
      <c r="O465" s="7" t="b">
        <f aca="false">FALSE()</f>
        <v>0</v>
      </c>
      <c r="P465" s="2" t="n">
        <v>-51</v>
      </c>
      <c r="Q465" s="2" t="s">
        <v>2209</v>
      </c>
      <c r="R465" s="2"/>
    </row>
    <row r="466" customFormat="false" ht="15" hidden="false" customHeight="false" outlineLevel="0" collapsed="false">
      <c r="A466" s="2" t="s">
        <v>2047</v>
      </c>
      <c r="B466" s="2" t="s">
        <v>2048</v>
      </c>
      <c r="C466" s="2" t="s">
        <v>2220</v>
      </c>
      <c r="D466" s="2" t="s">
        <v>2227</v>
      </c>
      <c r="E466" s="2" t="s">
        <v>2049</v>
      </c>
      <c r="F466" s="2" t="s">
        <v>2197</v>
      </c>
      <c r="G466" s="5" t="n">
        <v>46099</v>
      </c>
      <c r="H466" s="5" t="n">
        <v>46144</v>
      </c>
      <c r="I466" s="2" t="n">
        <v>45</v>
      </c>
      <c r="J466" s="2" t="s">
        <v>41</v>
      </c>
      <c r="K466" s="6" t="n">
        <v>239658</v>
      </c>
      <c r="L466" s="2" t="s">
        <v>2204</v>
      </c>
      <c r="M466" s="2" t="s">
        <v>2053</v>
      </c>
      <c r="N466" s="2" t="s">
        <v>396</v>
      </c>
      <c r="O466" s="7" t="b">
        <f aca="false">FALSE()</f>
        <v>0</v>
      </c>
      <c r="P466" s="2" t="n">
        <v>151</v>
      </c>
      <c r="Q466" s="2" t="s">
        <v>2201</v>
      </c>
      <c r="R466" s="2"/>
    </row>
    <row r="467" customFormat="false" ht="15" hidden="false" customHeight="false" outlineLevel="0" collapsed="false">
      <c r="A467" s="2" t="s">
        <v>2047</v>
      </c>
      <c r="B467" s="2" t="s">
        <v>2048</v>
      </c>
      <c r="C467" s="2" t="s">
        <v>2220</v>
      </c>
      <c r="D467" s="2" t="s">
        <v>2227</v>
      </c>
      <c r="E467" s="2" t="s">
        <v>2311</v>
      </c>
      <c r="F467" s="2" t="s">
        <v>2199</v>
      </c>
      <c r="G467" s="5" t="n">
        <v>46121</v>
      </c>
      <c r="H467" s="5" t="n">
        <v>46121</v>
      </c>
      <c r="I467" s="2" t="n">
        <v>0</v>
      </c>
      <c r="J467" s="2" t="s">
        <v>41</v>
      </c>
      <c r="K467" s="6" t="n">
        <v>14536.87</v>
      </c>
      <c r="L467" s="2" t="s">
        <v>137</v>
      </c>
      <c r="M467" s="2"/>
      <c r="N467" s="2"/>
      <c r="O467" s="7" t="b">
        <f aca="false">FALSE()</f>
        <v>0</v>
      </c>
      <c r="P467" s="2" t="n">
        <v>174</v>
      </c>
      <c r="Q467" s="2" t="s">
        <v>2201</v>
      </c>
      <c r="R467" s="2"/>
    </row>
    <row r="468" customFormat="false" ht="15" hidden="false" customHeight="false" outlineLevel="0" collapsed="false">
      <c r="A468" s="2" t="s">
        <v>2047</v>
      </c>
      <c r="B468" s="2" t="s">
        <v>2048</v>
      </c>
      <c r="C468" s="2" t="s">
        <v>2220</v>
      </c>
      <c r="D468" s="2" t="s">
        <v>2227</v>
      </c>
      <c r="E468" s="2" t="s">
        <v>2057</v>
      </c>
      <c r="F468" s="2" t="s">
        <v>2197</v>
      </c>
      <c r="G468" s="5" t="n">
        <v>46143</v>
      </c>
      <c r="H468" s="5" t="n">
        <v>46188</v>
      </c>
      <c r="I468" s="2" t="n">
        <v>45</v>
      </c>
      <c r="J468" s="2" t="s">
        <v>41</v>
      </c>
      <c r="K468" s="6" t="n">
        <v>232932</v>
      </c>
      <c r="L468" s="2" t="s">
        <v>137</v>
      </c>
      <c r="M468" s="2" t="s">
        <v>2060</v>
      </c>
      <c r="N468" s="2"/>
      <c r="O468" s="7" t="b">
        <f aca="false">FALSE()</f>
        <v>0</v>
      </c>
      <c r="P468" s="2" t="n">
        <v>107</v>
      </c>
      <c r="Q468" s="2" t="s">
        <v>2201</v>
      </c>
      <c r="R468" s="2"/>
    </row>
    <row r="469" customFormat="false" ht="15" hidden="false" customHeight="false" outlineLevel="0" collapsed="false">
      <c r="A469" s="2" t="s">
        <v>2047</v>
      </c>
      <c r="B469" s="2" t="s">
        <v>2048</v>
      </c>
      <c r="C469" s="2" t="s">
        <v>2220</v>
      </c>
      <c r="D469" s="2" t="s">
        <v>2227</v>
      </c>
      <c r="E469" s="2" t="s">
        <v>2065</v>
      </c>
      <c r="F469" s="2" t="s">
        <v>2197</v>
      </c>
      <c r="G469" s="5" t="n">
        <v>46161</v>
      </c>
      <c r="H469" s="5" t="n">
        <v>46206</v>
      </c>
      <c r="I469" s="2" t="n">
        <v>45</v>
      </c>
      <c r="J469" s="2" t="s">
        <v>41</v>
      </c>
      <c r="K469" s="6" t="n">
        <v>117082.86</v>
      </c>
      <c r="L469" s="2" t="s">
        <v>137</v>
      </c>
      <c r="M469" s="2" t="s">
        <v>2067</v>
      </c>
      <c r="N469" s="2"/>
      <c r="O469" s="7" t="b">
        <f aca="false">FALSE()</f>
        <v>0</v>
      </c>
      <c r="P469" s="2" t="n">
        <v>89</v>
      </c>
      <c r="Q469" s="2" t="s">
        <v>2203</v>
      </c>
      <c r="R469" s="2"/>
    </row>
    <row r="470" customFormat="false" ht="15" hidden="false" customHeight="false" outlineLevel="0" collapsed="false">
      <c r="A470" s="2" t="s">
        <v>2047</v>
      </c>
      <c r="B470" s="2" t="s">
        <v>2048</v>
      </c>
      <c r="C470" s="2" t="s">
        <v>2220</v>
      </c>
      <c r="D470" s="2" t="s">
        <v>2227</v>
      </c>
      <c r="E470" s="2" t="s">
        <v>2061</v>
      </c>
      <c r="F470" s="2" t="s">
        <v>2222</v>
      </c>
      <c r="G470" s="5" t="n">
        <v>46173</v>
      </c>
      <c r="H470" s="5" t="n">
        <v>46173</v>
      </c>
      <c r="I470" s="2" t="n">
        <v>0</v>
      </c>
      <c r="J470" s="2" t="s">
        <v>41</v>
      </c>
      <c r="K470" s="6" t="n">
        <v>-46400</v>
      </c>
      <c r="L470" s="2" t="s">
        <v>137</v>
      </c>
      <c r="M470" s="2" t="s">
        <v>2064</v>
      </c>
      <c r="N470" s="2"/>
      <c r="O470" s="7" t="b">
        <f aca="false">FALSE()</f>
        <v>0</v>
      </c>
      <c r="P470" s="2" t="n">
        <v>122</v>
      </c>
      <c r="Q470" s="2" t="s">
        <v>2201</v>
      </c>
      <c r="R470" s="2"/>
    </row>
    <row r="471" customFormat="false" ht="15" hidden="false" customHeight="false" outlineLevel="0" collapsed="false">
      <c r="A471" s="2" t="s">
        <v>2047</v>
      </c>
      <c r="B471" s="2" t="s">
        <v>2048</v>
      </c>
      <c r="C471" s="2" t="s">
        <v>2220</v>
      </c>
      <c r="D471" s="2" t="s">
        <v>2227</v>
      </c>
      <c r="E471" s="2" t="s">
        <v>2068</v>
      </c>
      <c r="F471" s="2" t="s">
        <v>2197</v>
      </c>
      <c r="G471" s="5" t="n">
        <v>46233</v>
      </c>
      <c r="H471" s="5" t="n">
        <v>46278</v>
      </c>
      <c r="I471" s="2" t="n">
        <v>45</v>
      </c>
      <c r="J471" s="2" t="s">
        <v>41</v>
      </c>
      <c r="K471" s="6" t="n">
        <v>36934</v>
      </c>
      <c r="L471" s="2" t="s">
        <v>137</v>
      </c>
      <c r="M471" s="2" t="s">
        <v>2071</v>
      </c>
      <c r="N471" s="2"/>
      <c r="O471" s="7" t="b">
        <f aca="false">FALSE()</f>
        <v>0</v>
      </c>
      <c r="P471" s="2" t="n">
        <v>17</v>
      </c>
      <c r="Q471" s="2" t="s">
        <v>2207</v>
      </c>
      <c r="R471" s="2"/>
    </row>
    <row r="472" customFormat="false" ht="15" hidden="false" customHeight="false" outlineLevel="0" collapsed="false">
      <c r="A472" s="2" t="s">
        <v>2047</v>
      </c>
      <c r="B472" s="2" t="s">
        <v>2048</v>
      </c>
      <c r="C472" s="2" t="s">
        <v>2220</v>
      </c>
      <c r="D472" s="2" t="s">
        <v>2227</v>
      </c>
      <c r="E472" s="2" t="s">
        <v>2072</v>
      </c>
      <c r="F472" s="2" t="s">
        <v>2197</v>
      </c>
      <c r="G472" s="5" t="n">
        <v>46271</v>
      </c>
      <c r="H472" s="5" t="n">
        <v>46316</v>
      </c>
      <c r="I472" s="2" t="n">
        <v>45</v>
      </c>
      <c r="J472" s="2" t="s">
        <v>41</v>
      </c>
      <c r="K472" s="6" t="n">
        <v>119076.42</v>
      </c>
      <c r="L472" s="2" t="s">
        <v>137</v>
      </c>
      <c r="M472" s="2" t="s">
        <v>2074</v>
      </c>
      <c r="N472" s="2"/>
      <c r="O472" s="7" t="b">
        <f aca="false">FALSE()</f>
        <v>0</v>
      </c>
      <c r="P472" s="2" t="n">
        <v>-21</v>
      </c>
      <c r="Q472" s="2" t="s">
        <v>2209</v>
      </c>
      <c r="R472" s="2"/>
    </row>
    <row r="473" customFormat="false" ht="15" hidden="false" customHeight="false" outlineLevel="0" collapsed="false">
      <c r="A473" s="2" t="s">
        <v>2047</v>
      </c>
      <c r="B473" s="2" t="s">
        <v>2048</v>
      </c>
      <c r="C473" s="2" t="s">
        <v>2220</v>
      </c>
      <c r="D473" s="2" t="s">
        <v>2227</v>
      </c>
      <c r="E473" s="2" t="s">
        <v>2077</v>
      </c>
      <c r="F473" s="2" t="s">
        <v>2197</v>
      </c>
      <c r="G473" s="5" t="n">
        <v>46275</v>
      </c>
      <c r="H473" s="5" t="n">
        <v>46320</v>
      </c>
      <c r="I473" s="2" t="n">
        <v>45</v>
      </c>
      <c r="J473" s="2" t="s">
        <v>41</v>
      </c>
      <c r="K473" s="6" t="n">
        <v>16166</v>
      </c>
      <c r="L473" s="2" t="s">
        <v>137</v>
      </c>
      <c r="M473" s="2" t="s">
        <v>2081</v>
      </c>
      <c r="N473" s="2"/>
      <c r="O473" s="7" t="b">
        <f aca="false">FALSE()</f>
        <v>0</v>
      </c>
      <c r="P473" s="2" t="n">
        <v>-25</v>
      </c>
      <c r="Q473" s="2" t="s">
        <v>2209</v>
      </c>
      <c r="R473" s="2"/>
    </row>
    <row r="474" customFormat="false" ht="15" hidden="false" customHeight="false" outlineLevel="0" collapsed="false">
      <c r="A474" s="2" t="s">
        <v>2047</v>
      </c>
      <c r="B474" s="2" t="s">
        <v>2048</v>
      </c>
      <c r="C474" s="2" t="s">
        <v>2220</v>
      </c>
      <c r="D474" s="2" t="s">
        <v>2227</v>
      </c>
      <c r="E474" s="2" t="s">
        <v>2312</v>
      </c>
      <c r="F474" s="2" t="s">
        <v>2212</v>
      </c>
      <c r="G474" s="5" t="n">
        <v>46280</v>
      </c>
      <c r="H474" s="5" t="n">
        <v>46280</v>
      </c>
      <c r="I474" s="2" t="n">
        <v>0</v>
      </c>
      <c r="J474" s="2" t="s">
        <v>41</v>
      </c>
      <c r="K474" s="6" t="n">
        <v>-3800</v>
      </c>
      <c r="L474" s="2" t="s">
        <v>137</v>
      </c>
      <c r="M474" s="2" t="s">
        <v>226</v>
      </c>
      <c r="N474" s="2"/>
      <c r="O474" s="7" t="b">
        <f aca="false">FALSE()</f>
        <v>0</v>
      </c>
      <c r="P474" s="2" t="n">
        <v>15</v>
      </c>
      <c r="Q474" s="2" t="s">
        <v>2207</v>
      </c>
      <c r="R474" s="2"/>
    </row>
    <row r="475" customFormat="false" ht="15" hidden="false" customHeight="false" outlineLevel="0" collapsed="false">
      <c r="A475" s="2" t="s">
        <v>2047</v>
      </c>
      <c r="B475" s="2" t="s">
        <v>2048</v>
      </c>
      <c r="C475" s="2" t="s">
        <v>2220</v>
      </c>
      <c r="D475" s="2" t="s">
        <v>2227</v>
      </c>
      <c r="E475" s="2" t="s">
        <v>2082</v>
      </c>
      <c r="F475" s="2" t="s">
        <v>2197</v>
      </c>
      <c r="G475" s="5" t="n">
        <v>46283</v>
      </c>
      <c r="H475" s="5" t="n">
        <v>46328</v>
      </c>
      <c r="I475" s="2" t="n">
        <v>45</v>
      </c>
      <c r="J475" s="2" t="s">
        <v>41</v>
      </c>
      <c r="K475" s="6" t="n">
        <v>228714.73</v>
      </c>
      <c r="L475" s="2" t="s">
        <v>2204</v>
      </c>
      <c r="M475" s="2"/>
      <c r="N475" s="2"/>
      <c r="O475" s="7" t="b">
        <f aca="false">FALSE()</f>
        <v>0</v>
      </c>
      <c r="P475" s="2" t="n">
        <v>-33</v>
      </c>
      <c r="Q475" s="2" t="s">
        <v>2209</v>
      </c>
      <c r="R475" s="2"/>
    </row>
    <row r="476" customFormat="false" ht="15" hidden="false" customHeight="false" outlineLevel="0" collapsed="false">
      <c r="A476" s="2" t="s">
        <v>2313</v>
      </c>
      <c r="B476" s="2" t="s">
        <v>2086</v>
      </c>
      <c r="C476" s="2"/>
      <c r="D476" s="2"/>
      <c r="E476" s="2" t="s">
        <v>2087</v>
      </c>
      <c r="F476" s="2" t="s">
        <v>2212</v>
      </c>
      <c r="G476" s="5" t="n">
        <v>45804</v>
      </c>
      <c r="H476" s="5" t="n">
        <v>45804</v>
      </c>
      <c r="I476" s="2" t="n">
        <v>0</v>
      </c>
      <c r="J476" s="2" t="s">
        <v>41</v>
      </c>
      <c r="K476" s="6" t="n">
        <v>-48600</v>
      </c>
      <c r="L476" s="2" t="s">
        <v>1596</v>
      </c>
      <c r="M476" s="2" t="s">
        <v>226</v>
      </c>
      <c r="N476" s="2"/>
      <c r="O476" s="7" t="b">
        <f aca="false">FALSE()</f>
        <v>0</v>
      </c>
      <c r="P476" s="2" t="n">
        <v>491</v>
      </c>
      <c r="Q476" s="2" t="s">
        <v>2198</v>
      </c>
      <c r="R476" s="2" t="s">
        <v>2314</v>
      </c>
    </row>
    <row r="477" customFormat="false" ht="15" hidden="false" customHeight="false" outlineLevel="0" collapsed="false">
      <c r="A477" s="2" t="s">
        <v>2313</v>
      </c>
      <c r="B477" s="2" t="s">
        <v>2086</v>
      </c>
      <c r="C477" s="2"/>
      <c r="D477" s="2"/>
      <c r="E477" s="2" t="s">
        <v>2090</v>
      </c>
      <c r="F477" s="2" t="s">
        <v>2197</v>
      </c>
      <c r="G477" s="5" t="n">
        <v>45987</v>
      </c>
      <c r="H477" s="5" t="n">
        <v>46017</v>
      </c>
      <c r="I477" s="2" t="n">
        <v>30</v>
      </c>
      <c r="J477" s="2" t="s">
        <v>41</v>
      </c>
      <c r="K477" s="6" t="n">
        <v>134520</v>
      </c>
      <c r="L477" s="2" t="s">
        <v>1596</v>
      </c>
      <c r="M477" s="2" t="s">
        <v>2094</v>
      </c>
      <c r="N477" s="2"/>
      <c r="O477" s="7" t="b">
        <f aca="false">FALSE()</f>
        <v>0</v>
      </c>
      <c r="P477" s="2" t="n">
        <v>278</v>
      </c>
      <c r="Q477" s="2" t="s">
        <v>2198</v>
      </c>
      <c r="R477" s="2" t="s">
        <v>2255</v>
      </c>
    </row>
    <row r="478" customFormat="false" ht="15" hidden="false" customHeight="false" outlineLevel="0" collapsed="false">
      <c r="A478" s="2" t="s">
        <v>2313</v>
      </c>
      <c r="B478" s="2" t="s">
        <v>2086</v>
      </c>
      <c r="C478" s="2"/>
      <c r="D478" s="2"/>
      <c r="E478" s="2" t="s">
        <v>2095</v>
      </c>
      <c r="F478" s="2" t="s">
        <v>2222</v>
      </c>
      <c r="G478" s="5" t="n">
        <v>46111</v>
      </c>
      <c r="H478" s="5" t="n">
        <v>46111</v>
      </c>
      <c r="I478" s="2" t="n">
        <v>0</v>
      </c>
      <c r="J478" s="2" t="s">
        <v>41</v>
      </c>
      <c r="K478" s="6" t="n">
        <v>-157000</v>
      </c>
      <c r="L478" s="2" t="s">
        <v>1596</v>
      </c>
      <c r="M478" s="2" t="s">
        <v>2097</v>
      </c>
      <c r="N478" s="2"/>
      <c r="O478" s="7" t="b">
        <f aca="false">FALSE()</f>
        <v>0</v>
      </c>
      <c r="P478" s="2" t="n">
        <v>184</v>
      </c>
      <c r="Q478" s="2" t="s">
        <v>2198</v>
      </c>
      <c r="R478" s="2" t="s">
        <v>2255</v>
      </c>
    </row>
    <row r="479" customFormat="false" ht="15" hidden="false" customHeight="false" outlineLevel="0" collapsed="false">
      <c r="A479" s="2" t="s">
        <v>2313</v>
      </c>
      <c r="B479" s="2" t="s">
        <v>2086</v>
      </c>
      <c r="C479" s="2"/>
      <c r="D479" s="2"/>
      <c r="E479" s="2" t="s">
        <v>2098</v>
      </c>
      <c r="F479" s="2" t="s">
        <v>2197</v>
      </c>
      <c r="G479" s="5" t="n">
        <v>46115</v>
      </c>
      <c r="H479" s="5" t="n">
        <v>46145</v>
      </c>
      <c r="I479" s="2" t="n">
        <v>30</v>
      </c>
      <c r="J479" s="2" t="s">
        <v>41</v>
      </c>
      <c r="K479" s="6" t="n">
        <v>114584.17</v>
      </c>
      <c r="L479" s="2" t="s">
        <v>1596</v>
      </c>
      <c r="M479" s="2"/>
      <c r="N479" s="2" t="s">
        <v>1202</v>
      </c>
      <c r="O479" s="7" t="b">
        <f aca="false">TRUE()</f>
        <v>1</v>
      </c>
      <c r="P479" s="2" t="n">
        <v>150</v>
      </c>
      <c r="Q479" s="2" t="s">
        <v>2201</v>
      </c>
      <c r="R479" s="2" t="s">
        <v>2255</v>
      </c>
    </row>
    <row r="480" customFormat="false" ht="15" hidden="false" customHeight="false" outlineLevel="0" collapsed="false">
      <c r="A480" s="2" t="s">
        <v>2313</v>
      </c>
      <c r="B480" s="2" t="s">
        <v>2086</v>
      </c>
      <c r="C480" s="2"/>
      <c r="D480" s="2"/>
      <c r="E480" s="2" t="s">
        <v>2102</v>
      </c>
      <c r="F480" s="2" t="s">
        <v>2197</v>
      </c>
      <c r="G480" s="5" t="n">
        <v>46212</v>
      </c>
      <c r="H480" s="5" t="n">
        <v>46242</v>
      </c>
      <c r="I480" s="2" t="n">
        <v>30</v>
      </c>
      <c r="J480" s="2" t="s">
        <v>41</v>
      </c>
      <c r="K480" s="6" t="n">
        <v>24544</v>
      </c>
      <c r="L480" s="2" t="s">
        <v>1596</v>
      </c>
      <c r="M480" s="2"/>
      <c r="N480" s="2"/>
      <c r="O480" s="7" t="b">
        <f aca="false">FALSE()</f>
        <v>0</v>
      </c>
      <c r="P480" s="2" t="n">
        <v>53</v>
      </c>
      <c r="Q480" s="2" t="s">
        <v>2205</v>
      </c>
      <c r="R480" s="2" t="s">
        <v>2255</v>
      </c>
    </row>
    <row r="481" customFormat="false" ht="15" hidden="false" customHeight="false" outlineLevel="0" collapsed="false">
      <c r="A481" s="2" t="s">
        <v>2313</v>
      </c>
      <c r="B481" s="2" t="s">
        <v>2086</v>
      </c>
      <c r="C481" s="2"/>
      <c r="D481" s="2"/>
      <c r="E481" s="2" t="s">
        <v>2315</v>
      </c>
      <c r="F481" s="2" t="s">
        <v>2197</v>
      </c>
      <c r="G481" s="5" t="n">
        <v>46226</v>
      </c>
      <c r="H481" s="5" t="n">
        <v>46256</v>
      </c>
      <c r="I481" s="2" t="n">
        <v>30</v>
      </c>
      <c r="J481" s="2" t="s">
        <v>41</v>
      </c>
      <c r="K481" s="6" t="n">
        <v>39927.71</v>
      </c>
      <c r="L481" s="2" t="s">
        <v>1596</v>
      </c>
      <c r="M481" s="2"/>
      <c r="N481" s="2"/>
      <c r="O481" s="7" t="b">
        <f aca="false">FALSE()</f>
        <v>0</v>
      </c>
      <c r="P481" s="2" t="n">
        <v>39</v>
      </c>
      <c r="Q481" s="2" t="s">
        <v>2205</v>
      </c>
      <c r="R481" s="2" t="s">
        <v>2316</v>
      </c>
    </row>
    <row r="482" customFormat="false" ht="15" hidden="false" customHeight="false" outlineLevel="0" collapsed="false">
      <c r="A482" s="2" t="s">
        <v>2313</v>
      </c>
      <c r="B482" s="2" t="s">
        <v>2086</v>
      </c>
      <c r="C482" s="2"/>
      <c r="D482" s="2"/>
      <c r="E482" s="2" t="s">
        <v>2107</v>
      </c>
      <c r="F482" s="2" t="s">
        <v>2197</v>
      </c>
      <c r="G482" s="5" t="n">
        <v>46263</v>
      </c>
      <c r="H482" s="5" t="n">
        <v>46293</v>
      </c>
      <c r="I482" s="2" t="n">
        <v>30</v>
      </c>
      <c r="J482" s="2" t="s">
        <v>41</v>
      </c>
      <c r="K482" s="6" t="n">
        <v>34118.18</v>
      </c>
      <c r="L482" s="2" t="s">
        <v>2204</v>
      </c>
      <c r="M482" s="2" t="s">
        <v>2109</v>
      </c>
      <c r="N482" s="2"/>
      <c r="O482" s="7" t="b">
        <f aca="false">FALSE()</f>
        <v>0</v>
      </c>
      <c r="P482" s="2" t="n">
        <v>2</v>
      </c>
      <c r="Q482" s="2" t="s">
        <v>2207</v>
      </c>
      <c r="R482" s="2" t="s">
        <v>2317</v>
      </c>
    </row>
    <row r="483" customFormat="false" ht="15" hidden="false" customHeight="false" outlineLevel="0" collapsed="false">
      <c r="A483" s="2" t="s">
        <v>2313</v>
      </c>
      <c r="B483" s="2" t="s">
        <v>2086</v>
      </c>
      <c r="C483" s="2"/>
      <c r="D483" s="2"/>
      <c r="E483" s="2" t="s">
        <v>2318</v>
      </c>
      <c r="F483" s="2" t="s">
        <v>2197</v>
      </c>
      <c r="G483" s="5" t="n">
        <v>46268</v>
      </c>
      <c r="H483" s="5" t="n">
        <v>46328</v>
      </c>
      <c r="I483" s="2" t="n">
        <v>60</v>
      </c>
      <c r="J483" s="2" t="s">
        <v>41</v>
      </c>
      <c r="K483" s="6" t="n">
        <v>227150</v>
      </c>
      <c r="L483" s="2" t="s">
        <v>1596</v>
      </c>
      <c r="M483" s="2" t="s">
        <v>2116</v>
      </c>
      <c r="N483" s="2"/>
      <c r="O483" s="7" t="b">
        <f aca="false">FALSE()</f>
        <v>0</v>
      </c>
      <c r="P483" s="2" t="n">
        <v>-33</v>
      </c>
      <c r="Q483" s="2" t="s">
        <v>2209</v>
      </c>
      <c r="R483" s="2" t="s">
        <v>2255</v>
      </c>
    </row>
    <row r="484" customFormat="false" ht="15" hidden="false" customHeight="false" outlineLevel="0" collapsed="false">
      <c r="A484" s="2" t="s">
        <v>2313</v>
      </c>
      <c r="B484" s="2" t="s">
        <v>2086</v>
      </c>
      <c r="C484" s="2"/>
      <c r="D484" s="2"/>
      <c r="E484" s="2" t="s">
        <v>2110</v>
      </c>
      <c r="F484" s="2" t="s">
        <v>2197</v>
      </c>
      <c r="G484" s="5" t="n">
        <v>46285</v>
      </c>
      <c r="H484" s="5" t="n">
        <v>46315</v>
      </c>
      <c r="I484" s="2" t="n">
        <v>30</v>
      </c>
      <c r="J484" s="2" t="s">
        <v>41</v>
      </c>
      <c r="K484" s="6" t="n">
        <v>99946</v>
      </c>
      <c r="L484" s="2" t="s">
        <v>1596</v>
      </c>
      <c r="M484" s="2" t="s">
        <v>2113</v>
      </c>
      <c r="N484" s="2"/>
      <c r="O484" s="7" t="b">
        <f aca="false">FALSE()</f>
        <v>0</v>
      </c>
      <c r="P484" s="2" t="n">
        <v>-20</v>
      </c>
      <c r="Q484" s="2" t="s">
        <v>2209</v>
      </c>
      <c r="R484" s="2" t="s">
        <v>2255</v>
      </c>
    </row>
    <row r="485" customFormat="false" ht="15" hidden="false" customHeight="false" outlineLevel="0" collapsed="false">
      <c r="A485" s="2" t="s">
        <v>2313</v>
      </c>
      <c r="B485" s="2" t="s">
        <v>2086</v>
      </c>
      <c r="C485" s="2"/>
      <c r="D485" s="2"/>
      <c r="E485" s="2" t="s">
        <v>2120</v>
      </c>
      <c r="F485" s="2" t="s">
        <v>2197</v>
      </c>
      <c r="G485" s="5" t="n">
        <v>46289</v>
      </c>
      <c r="H485" s="5" t="n">
        <v>46319</v>
      </c>
      <c r="I485" s="2" t="n">
        <v>30</v>
      </c>
      <c r="J485" s="2" t="s">
        <v>41</v>
      </c>
      <c r="K485" s="6" t="n">
        <v>155052</v>
      </c>
      <c r="L485" s="2" t="s">
        <v>1596</v>
      </c>
      <c r="M485" s="2" t="s">
        <v>2122</v>
      </c>
      <c r="N485" s="2"/>
      <c r="O485" s="7" t="b">
        <f aca="false">FALSE()</f>
        <v>0</v>
      </c>
      <c r="P485" s="2" t="n">
        <v>-24</v>
      </c>
      <c r="Q485" s="2" t="s">
        <v>2209</v>
      </c>
      <c r="R485" s="2" t="s">
        <v>2255</v>
      </c>
    </row>
    <row r="486" customFormat="false" ht="15" hidden="false" customHeight="false" outlineLevel="0" collapsed="false">
      <c r="A486" s="2" t="s">
        <v>2313</v>
      </c>
      <c r="B486" s="2" t="s">
        <v>2086</v>
      </c>
      <c r="C486" s="2"/>
      <c r="D486" s="2"/>
      <c r="E486" s="2" t="s">
        <v>2117</v>
      </c>
      <c r="F486" s="2" t="s">
        <v>2212</v>
      </c>
      <c r="G486" s="5" t="n">
        <v>46293</v>
      </c>
      <c r="H486" s="5" t="n">
        <v>46293</v>
      </c>
      <c r="I486" s="2" t="n">
        <v>0</v>
      </c>
      <c r="J486" s="2" t="s">
        <v>41</v>
      </c>
      <c r="K486" s="6" t="n">
        <v>-19600</v>
      </c>
      <c r="L486" s="2" t="s">
        <v>1596</v>
      </c>
      <c r="M486" s="2"/>
      <c r="N486" s="2"/>
      <c r="O486" s="7" t="b">
        <f aca="false">FALSE()</f>
        <v>0</v>
      </c>
      <c r="P486" s="2" t="n">
        <v>2</v>
      </c>
      <c r="Q486" s="2" t="s">
        <v>2207</v>
      </c>
      <c r="R486" s="2" t="s">
        <v>2255</v>
      </c>
    </row>
    <row r="487" customFormat="false" ht="15" hidden="false" customHeight="false" outlineLevel="0" collapsed="false">
      <c r="A487" s="2" t="s">
        <v>2124</v>
      </c>
      <c r="B487" s="2" t="s">
        <v>2125</v>
      </c>
      <c r="C487" s="2" t="s">
        <v>2229</v>
      </c>
      <c r="D487" s="2" t="s">
        <v>2244</v>
      </c>
      <c r="E487" s="2" t="s">
        <v>2126</v>
      </c>
      <c r="F487" s="2" t="s">
        <v>2197</v>
      </c>
      <c r="G487" s="5" t="n">
        <v>45981</v>
      </c>
      <c r="H487" s="5" t="n">
        <v>46041</v>
      </c>
      <c r="I487" s="2" t="n">
        <v>60</v>
      </c>
      <c r="J487" s="2" t="s">
        <v>41</v>
      </c>
      <c r="K487" s="6" t="n">
        <v>25016</v>
      </c>
      <c r="L487" s="2" t="s">
        <v>502</v>
      </c>
      <c r="M487" s="2" t="s">
        <v>2130</v>
      </c>
      <c r="N487" s="2"/>
      <c r="O487" s="7" t="b">
        <f aca="false">FALSE()</f>
        <v>0</v>
      </c>
      <c r="P487" s="2" t="n">
        <v>254</v>
      </c>
      <c r="Q487" s="2" t="s">
        <v>2198</v>
      </c>
      <c r="R487" s="2"/>
    </row>
    <row r="488" customFormat="false" ht="15" hidden="false" customHeight="false" outlineLevel="0" collapsed="false">
      <c r="A488" s="2" t="s">
        <v>2124</v>
      </c>
      <c r="B488" s="2" t="s">
        <v>2125</v>
      </c>
      <c r="C488" s="2" t="s">
        <v>2229</v>
      </c>
      <c r="D488" s="2" t="s">
        <v>2244</v>
      </c>
      <c r="E488" s="2" t="s">
        <v>2131</v>
      </c>
      <c r="F488" s="2" t="s">
        <v>2197</v>
      </c>
      <c r="G488" s="5" t="n">
        <v>46006</v>
      </c>
      <c r="H488" s="5" t="n">
        <v>46051</v>
      </c>
      <c r="I488" s="2" t="n">
        <v>45</v>
      </c>
      <c r="J488" s="2" t="s">
        <v>41</v>
      </c>
      <c r="K488" s="6" t="n">
        <v>7788</v>
      </c>
      <c r="L488" s="2" t="s">
        <v>502</v>
      </c>
      <c r="M488" s="2" t="s">
        <v>2134</v>
      </c>
      <c r="N488" s="2"/>
      <c r="O488" s="7" t="b">
        <f aca="false">FALSE()</f>
        <v>0</v>
      </c>
      <c r="P488" s="2" t="n">
        <v>244</v>
      </c>
      <c r="Q488" s="2" t="s">
        <v>2198</v>
      </c>
      <c r="R488" s="2"/>
    </row>
    <row r="489" customFormat="false" ht="15" hidden="false" customHeight="false" outlineLevel="0" collapsed="false">
      <c r="A489" s="2" t="s">
        <v>2124</v>
      </c>
      <c r="B489" s="2" t="s">
        <v>2125</v>
      </c>
      <c r="C489" s="2" t="s">
        <v>2229</v>
      </c>
      <c r="D489" s="2" t="s">
        <v>2244</v>
      </c>
      <c r="E489" s="2" t="s">
        <v>2135</v>
      </c>
      <c r="F489" s="2" t="s">
        <v>2197</v>
      </c>
      <c r="G489" s="5" t="n">
        <v>46089</v>
      </c>
      <c r="H489" s="5" t="n">
        <v>46149</v>
      </c>
      <c r="I489" s="2" t="n">
        <v>60</v>
      </c>
      <c r="J489" s="2" t="s">
        <v>41</v>
      </c>
      <c r="K489" s="6" t="n">
        <v>99870.01</v>
      </c>
      <c r="L489" s="2" t="s">
        <v>502</v>
      </c>
      <c r="M489" s="2" t="s">
        <v>847</v>
      </c>
      <c r="N489" s="2"/>
      <c r="O489" s="7" t="b">
        <f aca="false">FALSE()</f>
        <v>0</v>
      </c>
      <c r="P489" s="2" t="n">
        <v>146</v>
      </c>
      <c r="Q489" s="2" t="s">
        <v>2201</v>
      </c>
      <c r="R489" s="2"/>
    </row>
    <row r="490" customFormat="false" ht="15" hidden="false" customHeight="false" outlineLevel="0" collapsed="false">
      <c r="A490" s="2" t="s">
        <v>2124</v>
      </c>
      <c r="B490" s="2" t="s">
        <v>2125</v>
      </c>
      <c r="C490" s="2" t="s">
        <v>2229</v>
      </c>
      <c r="D490" s="2" t="s">
        <v>2244</v>
      </c>
      <c r="E490" s="2" t="s">
        <v>2137</v>
      </c>
      <c r="F490" s="2" t="s">
        <v>2197</v>
      </c>
      <c r="G490" s="5" t="n">
        <v>46099</v>
      </c>
      <c r="H490" s="5" t="n">
        <v>46159</v>
      </c>
      <c r="I490" s="2" t="n">
        <v>60</v>
      </c>
      <c r="J490" s="2" t="s">
        <v>41</v>
      </c>
      <c r="K490" s="6" t="n">
        <v>74930</v>
      </c>
      <c r="L490" s="2" t="s">
        <v>502</v>
      </c>
      <c r="M490" s="2" t="s">
        <v>2139</v>
      </c>
      <c r="N490" s="2"/>
      <c r="O490" s="7" t="b">
        <f aca="false">FALSE()</f>
        <v>0</v>
      </c>
      <c r="P490" s="2" t="n">
        <v>136</v>
      </c>
      <c r="Q490" s="2" t="s">
        <v>2201</v>
      </c>
      <c r="R490" s="2"/>
    </row>
    <row r="491" customFormat="false" ht="15" hidden="false" customHeight="false" outlineLevel="0" collapsed="false">
      <c r="A491" s="2" t="s">
        <v>2124</v>
      </c>
      <c r="B491" s="2" t="s">
        <v>2125</v>
      </c>
      <c r="C491" s="2" t="s">
        <v>2229</v>
      </c>
      <c r="D491" s="2" t="s">
        <v>2244</v>
      </c>
      <c r="E491" s="2" t="s">
        <v>2140</v>
      </c>
      <c r="F491" s="2" t="s">
        <v>2197</v>
      </c>
      <c r="G491" s="5" t="n">
        <v>46117</v>
      </c>
      <c r="H491" s="5" t="n">
        <v>46177</v>
      </c>
      <c r="I491" s="2" t="n">
        <v>60</v>
      </c>
      <c r="J491" s="2" t="s">
        <v>41</v>
      </c>
      <c r="K491" s="6" t="n">
        <v>158002</v>
      </c>
      <c r="L491" s="2" t="s">
        <v>502</v>
      </c>
      <c r="M491" s="2" t="s">
        <v>2142</v>
      </c>
      <c r="N491" s="2"/>
      <c r="O491" s="7" t="b">
        <f aca="false">FALSE()</f>
        <v>0</v>
      </c>
      <c r="P491" s="2" t="n">
        <v>118</v>
      </c>
      <c r="Q491" s="2" t="s">
        <v>2201</v>
      </c>
      <c r="R491" s="2"/>
    </row>
    <row r="492" customFormat="false" ht="15" hidden="false" customHeight="false" outlineLevel="0" collapsed="false">
      <c r="A492" s="2" t="s">
        <v>2124</v>
      </c>
      <c r="B492" s="2" t="s">
        <v>2125</v>
      </c>
      <c r="C492" s="2" t="s">
        <v>2229</v>
      </c>
      <c r="D492" s="2" t="s">
        <v>2244</v>
      </c>
      <c r="E492" s="2" t="s">
        <v>2143</v>
      </c>
      <c r="F492" s="2" t="s">
        <v>2197</v>
      </c>
      <c r="G492" s="5" t="n">
        <v>46181</v>
      </c>
      <c r="H492" s="5" t="n">
        <v>46241</v>
      </c>
      <c r="I492" s="2" t="n">
        <v>60</v>
      </c>
      <c r="J492" s="2" t="s">
        <v>41</v>
      </c>
      <c r="K492" s="6" t="n">
        <v>63130</v>
      </c>
      <c r="L492" s="2" t="s">
        <v>502</v>
      </c>
      <c r="M492" s="2" t="s">
        <v>2147</v>
      </c>
      <c r="N492" s="2"/>
      <c r="O492" s="7" t="b">
        <f aca="false">FALSE()</f>
        <v>0</v>
      </c>
      <c r="P492" s="2" t="n">
        <v>54</v>
      </c>
      <c r="Q492" s="2" t="s">
        <v>2205</v>
      </c>
      <c r="R492" s="2"/>
    </row>
    <row r="493" customFormat="false" ht="15" hidden="false" customHeight="false" outlineLevel="0" collapsed="false">
      <c r="A493" s="2" t="s">
        <v>2124</v>
      </c>
      <c r="B493" s="2" t="s">
        <v>2125</v>
      </c>
      <c r="C493" s="2" t="s">
        <v>2229</v>
      </c>
      <c r="D493" s="2" t="s">
        <v>2244</v>
      </c>
      <c r="E493" s="2" t="s">
        <v>2148</v>
      </c>
      <c r="F493" s="2" t="s">
        <v>2197</v>
      </c>
      <c r="G493" s="5" t="n">
        <v>46225</v>
      </c>
      <c r="H493" s="5" t="n">
        <v>46285</v>
      </c>
      <c r="I493" s="2" t="n">
        <v>60</v>
      </c>
      <c r="J493" s="2" t="s">
        <v>41</v>
      </c>
      <c r="K493" s="6" t="n">
        <v>33346.86</v>
      </c>
      <c r="L493" s="2" t="s">
        <v>502</v>
      </c>
      <c r="M493" s="2" t="s">
        <v>2150</v>
      </c>
      <c r="N493" s="2"/>
      <c r="O493" s="7" t="b">
        <f aca="false">FALSE()</f>
        <v>0</v>
      </c>
      <c r="P493" s="2" t="n">
        <v>10</v>
      </c>
      <c r="Q493" s="2" t="s">
        <v>2207</v>
      </c>
      <c r="R493" s="2"/>
    </row>
    <row r="494" customFormat="false" ht="15" hidden="false" customHeight="false" outlineLevel="0" collapsed="false">
      <c r="A494" s="2" t="s">
        <v>2124</v>
      </c>
      <c r="B494" s="2" t="s">
        <v>2125</v>
      </c>
      <c r="C494" s="2" t="s">
        <v>2229</v>
      </c>
      <c r="D494" s="2" t="s">
        <v>2244</v>
      </c>
      <c r="E494" s="2" t="s">
        <v>2152</v>
      </c>
      <c r="F494" s="2" t="s">
        <v>2197</v>
      </c>
      <c r="G494" s="5" t="n">
        <v>46258</v>
      </c>
      <c r="H494" s="5" t="n">
        <v>46288</v>
      </c>
      <c r="I494" s="2" t="n">
        <v>30</v>
      </c>
      <c r="J494" s="2" t="s">
        <v>41</v>
      </c>
      <c r="K494" s="6" t="n">
        <v>66406.97</v>
      </c>
      <c r="L494" s="2" t="s">
        <v>502</v>
      </c>
      <c r="M494" s="2" t="s">
        <v>2154</v>
      </c>
      <c r="N494" s="2"/>
      <c r="O494" s="7" t="b">
        <f aca="false">FALSE()</f>
        <v>0</v>
      </c>
      <c r="P494" s="2" t="n">
        <v>7</v>
      </c>
      <c r="Q494" s="2" t="s">
        <v>2207</v>
      </c>
      <c r="R494" s="2"/>
    </row>
    <row r="495" customFormat="false" ht="15" hidden="false" customHeight="false" outlineLevel="0" collapsed="false">
      <c r="A495" s="2" t="s">
        <v>2124</v>
      </c>
      <c r="B495" s="2" t="s">
        <v>2125</v>
      </c>
      <c r="C495" s="2" t="s">
        <v>2229</v>
      </c>
      <c r="D495" s="2" t="s">
        <v>2244</v>
      </c>
      <c r="E495" s="2" t="s">
        <v>2155</v>
      </c>
      <c r="F495" s="2" t="s">
        <v>2197</v>
      </c>
      <c r="G495" s="5" t="n">
        <v>46262</v>
      </c>
      <c r="H495" s="5" t="n">
        <v>46322</v>
      </c>
      <c r="I495" s="2" t="n">
        <v>60</v>
      </c>
      <c r="J495" s="2" t="s">
        <v>41</v>
      </c>
      <c r="K495" s="6" t="n">
        <v>22302</v>
      </c>
      <c r="L495" s="2" t="s">
        <v>571</v>
      </c>
      <c r="M495" s="2" t="s">
        <v>2157</v>
      </c>
      <c r="N495" s="2" t="s">
        <v>462</v>
      </c>
      <c r="O495" s="7" t="b">
        <f aca="false">FALSE()</f>
        <v>0</v>
      </c>
      <c r="P495" s="2" t="n">
        <v>-27</v>
      </c>
      <c r="Q495" s="2" t="s">
        <v>2209</v>
      </c>
      <c r="R495" s="2"/>
    </row>
    <row r="496" customFormat="false" ht="15" hidden="false" customHeight="false" outlineLevel="0" collapsed="false">
      <c r="A496" s="2" t="s">
        <v>2159</v>
      </c>
      <c r="B496" s="2" t="s">
        <v>2160</v>
      </c>
      <c r="C496" s="2" t="s">
        <v>2220</v>
      </c>
      <c r="D496" s="2" t="s">
        <v>2275</v>
      </c>
      <c r="E496" s="2" t="s">
        <v>2161</v>
      </c>
      <c r="F496" s="2" t="s">
        <v>2197</v>
      </c>
      <c r="G496" s="5" t="n">
        <v>46273</v>
      </c>
      <c r="H496" s="5" t="n">
        <v>46303</v>
      </c>
      <c r="I496" s="2" t="n">
        <v>30</v>
      </c>
      <c r="J496" s="2" t="s">
        <v>41</v>
      </c>
      <c r="K496" s="6" t="n">
        <v>34545</v>
      </c>
      <c r="L496" s="2" t="s">
        <v>1596</v>
      </c>
      <c r="M496" s="2"/>
      <c r="N496" s="2"/>
      <c r="O496" s="7" t="b">
        <f aca="false">FALSE()</f>
        <v>0</v>
      </c>
      <c r="P496" s="2" t="n">
        <v>-8</v>
      </c>
      <c r="Q496" s="2" t="s">
        <v>2209</v>
      </c>
      <c r="R496" s="2" t="s">
        <v>2200</v>
      </c>
    </row>
    <row r="497" customFormat="false" ht="15" hidden="false" customHeight="false" outlineLevel="0" collapsed="false">
      <c r="A497" s="2" t="s">
        <v>2159</v>
      </c>
      <c r="B497" s="2" t="s">
        <v>2160</v>
      </c>
      <c r="C497" s="2" t="s">
        <v>2220</v>
      </c>
      <c r="D497" s="2" t="s">
        <v>2275</v>
      </c>
      <c r="E497" s="2" t="s">
        <v>2319</v>
      </c>
      <c r="F497" s="2" t="s">
        <v>2197</v>
      </c>
      <c r="G497" s="5" t="n">
        <v>46288</v>
      </c>
      <c r="H497" s="5" t="n">
        <v>46318</v>
      </c>
      <c r="I497" s="2" t="n">
        <v>30</v>
      </c>
      <c r="J497" s="2" t="s">
        <v>41</v>
      </c>
      <c r="K497" s="6" t="n">
        <v>49678</v>
      </c>
      <c r="L497" s="2" t="s">
        <v>1596</v>
      </c>
      <c r="M497" s="2" t="s">
        <v>2167</v>
      </c>
      <c r="N497" s="2"/>
      <c r="O497" s="7" t="b">
        <f aca="false">FALSE()</f>
        <v>0</v>
      </c>
      <c r="P497" s="2" t="n">
        <v>-23</v>
      </c>
      <c r="Q497" s="2" t="s">
        <v>2209</v>
      </c>
      <c r="R497" s="2"/>
    </row>
    <row r="498" customFormat="false" ht="15" hidden="false" customHeight="false" outlineLevel="0" collapsed="false">
      <c r="A498" s="2" t="s">
        <v>2159</v>
      </c>
      <c r="B498" s="2" t="s">
        <v>2160</v>
      </c>
      <c r="C498" s="2" t="s">
        <v>2220</v>
      </c>
      <c r="D498" s="2" t="s">
        <v>2275</v>
      </c>
      <c r="E498" s="2" t="s">
        <v>2168</v>
      </c>
      <c r="F498" s="2" t="s">
        <v>2199</v>
      </c>
      <c r="G498" s="5" t="n">
        <v>46289</v>
      </c>
      <c r="H498" s="5" t="n">
        <v>46289</v>
      </c>
      <c r="I498" s="2" t="n">
        <v>0</v>
      </c>
      <c r="J498" s="2" t="s">
        <v>41</v>
      </c>
      <c r="K498" s="6" t="n">
        <v>16859.8</v>
      </c>
      <c r="L498" s="2" t="s">
        <v>1596</v>
      </c>
      <c r="M498" s="2"/>
      <c r="N498" s="2"/>
      <c r="O498" s="7" t="b">
        <f aca="false">FALSE()</f>
        <v>0</v>
      </c>
      <c r="P498" s="2" t="n">
        <v>6</v>
      </c>
      <c r="Q498" s="2" t="s">
        <v>2207</v>
      </c>
      <c r="R49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38"/>
    <col collapsed="false" customWidth="true" hidden="false" outlineLevel="0" max="5" min="5" style="0" width="30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2320</v>
      </c>
    </row>
    <row r="2" customFormat="false" ht="15" hidden="false" customHeight="false" outlineLevel="0" collapsed="false">
      <c r="A2" s="2" t="s">
        <v>2321</v>
      </c>
    </row>
    <row r="4" customFormat="false" ht="15" hidden="false" customHeight="false" outlineLevel="0" collapsed="false">
      <c r="A4" s="8" t="s">
        <v>2322</v>
      </c>
      <c r="B4" s="8" t="s">
        <v>2323</v>
      </c>
      <c r="C4" s="8" t="s">
        <v>2324</v>
      </c>
      <c r="D4" s="8" t="s">
        <v>2325</v>
      </c>
      <c r="E4" s="8" t="s">
        <v>2326</v>
      </c>
      <c r="F4" s="8" t="s">
        <v>24</v>
      </c>
    </row>
    <row r="5" customFormat="false" ht="15" hidden="false" customHeight="false" outlineLevel="0" collapsed="false">
      <c r="A5" s="9" t="s">
        <v>2327</v>
      </c>
      <c r="B5" s="9" t="s">
        <v>2328</v>
      </c>
      <c r="C5" s="9" t="s">
        <v>2329</v>
      </c>
      <c r="D5" s="9" t="s">
        <v>2219</v>
      </c>
      <c r="E5" s="9" t="s">
        <v>2330</v>
      </c>
      <c r="F5" s="9" t="s">
        <v>311</v>
      </c>
    </row>
    <row r="6" customFormat="false" ht="15" hidden="false" customHeight="false" outlineLevel="0" collapsed="false">
      <c r="A6" s="9" t="s">
        <v>2327</v>
      </c>
      <c r="B6" s="9" t="s">
        <v>2331</v>
      </c>
      <c r="C6" s="9" t="s">
        <v>2332</v>
      </c>
      <c r="D6" s="9" t="s">
        <v>2263</v>
      </c>
      <c r="E6" s="9" t="s">
        <v>2330</v>
      </c>
      <c r="F6" s="9" t="s">
        <v>1068</v>
      </c>
    </row>
    <row r="7" customFormat="false" ht="15" hidden="false" customHeight="false" outlineLevel="0" collapsed="false">
      <c r="A7" s="9" t="s">
        <v>2333</v>
      </c>
      <c r="B7" s="9" t="s">
        <v>2334</v>
      </c>
      <c r="C7" s="9" t="s">
        <v>2335</v>
      </c>
      <c r="D7" s="9" t="s">
        <v>2336</v>
      </c>
      <c r="E7" s="9" t="s">
        <v>2337</v>
      </c>
      <c r="F7" s="9" t="s">
        <v>45</v>
      </c>
    </row>
    <row r="8" customFormat="false" ht="15" hidden="false" customHeight="false" outlineLevel="0" collapsed="false">
      <c r="A8" s="9" t="s">
        <v>2338</v>
      </c>
      <c r="B8" s="9" t="s">
        <v>2339</v>
      </c>
      <c r="C8" s="9" t="s">
        <v>2340</v>
      </c>
      <c r="D8" s="9" t="s">
        <v>2341</v>
      </c>
      <c r="E8" s="9" t="s">
        <v>2342</v>
      </c>
      <c r="F8" s="9" t="s">
        <v>628</v>
      </c>
    </row>
    <row r="9" customFormat="false" ht="15" hidden="false" customHeight="false" outlineLevel="0" collapsed="false">
      <c r="A9" s="9" t="s">
        <v>2338</v>
      </c>
      <c r="B9" s="9" t="s">
        <v>2343</v>
      </c>
      <c r="C9" s="9" t="s">
        <v>2344</v>
      </c>
      <c r="D9" s="9" t="s">
        <v>2345</v>
      </c>
      <c r="E9" s="9" t="s">
        <v>2342</v>
      </c>
      <c r="F9" s="9" t="s">
        <v>438</v>
      </c>
    </row>
    <row r="10" customFormat="false" ht="23.85" hidden="false" customHeight="false" outlineLevel="0" collapsed="false">
      <c r="A10" s="9" t="s">
        <v>2338</v>
      </c>
      <c r="B10" s="9" t="s">
        <v>2346</v>
      </c>
      <c r="C10" s="9" t="s">
        <v>2347</v>
      </c>
      <c r="D10" s="9" t="s">
        <v>2348</v>
      </c>
      <c r="E10" s="9" t="s">
        <v>2349</v>
      </c>
      <c r="F10" s="9" t="s">
        <v>2254</v>
      </c>
    </row>
    <row r="11" customFormat="false" ht="15" hidden="false" customHeight="false" outlineLevel="0" collapsed="false">
      <c r="A11" s="9" t="s">
        <v>2350</v>
      </c>
      <c r="B11" s="9" t="s">
        <v>2351</v>
      </c>
      <c r="C11" s="9" t="s">
        <v>2352</v>
      </c>
      <c r="D11" s="9" t="s">
        <v>2212</v>
      </c>
      <c r="E11" s="9" t="s">
        <v>2353</v>
      </c>
      <c r="F11" s="9" t="s">
        <v>221</v>
      </c>
    </row>
    <row r="12" customFormat="false" ht="15" hidden="false" customHeight="false" outlineLevel="0" collapsed="false">
      <c r="A12" s="9" t="s">
        <v>2350</v>
      </c>
      <c r="B12" s="9" t="s">
        <v>2354</v>
      </c>
      <c r="C12" s="9" t="s">
        <v>2355</v>
      </c>
      <c r="D12" s="9" t="s">
        <v>2222</v>
      </c>
      <c r="E12" s="9" t="s">
        <v>2353</v>
      </c>
      <c r="F12" s="9" t="s">
        <v>916</v>
      </c>
    </row>
    <row r="13" customFormat="false" ht="15" hidden="false" customHeight="false" outlineLevel="0" collapsed="false">
      <c r="A13" s="9" t="s">
        <v>2356</v>
      </c>
      <c r="B13" s="9" t="s">
        <v>2357</v>
      </c>
      <c r="C13" s="9" t="s">
        <v>2358</v>
      </c>
      <c r="D13" s="9" t="s">
        <v>2359</v>
      </c>
      <c r="E13" s="9" t="s">
        <v>2360</v>
      </c>
      <c r="F13" s="9" t="s">
        <v>2217</v>
      </c>
    </row>
    <row r="14" customFormat="false" ht="15" hidden="false" customHeight="false" outlineLevel="0" collapsed="false">
      <c r="A14" s="9" t="s">
        <v>2361</v>
      </c>
      <c r="B14" s="9" t="s">
        <v>2362</v>
      </c>
      <c r="C14" s="9" t="s">
        <v>2363</v>
      </c>
      <c r="D14" s="9" t="s">
        <v>2364</v>
      </c>
      <c r="E14" s="9" t="s">
        <v>2365</v>
      </c>
      <c r="F14" s="9" t="s">
        <v>98</v>
      </c>
    </row>
    <row r="15" customFormat="false" ht="15" hidden="false" customHeight="false" outlineLevel="0" collapsed="false">
      <c r="A15" s="9" t="s">
        <v>2361</v>
      </c>
      <c r="B15" s="9" t="s">
        <v>2366</v>
      </c>
      <c r="C15" s="9" t="s">
        <v>2367</v>
      </c>
      <c r="D15" s="9" t="s">
        <v>2368</v>
      </c>
      <c r="E15" s="9" t="s">
        <v>2365</v>
      </c>
      <c r="F15" s="9" t="s">
        <v>70</v>
      </c>
    </row>
    <row r="16" customFormat="false" ht="15" hidden="false" customHeight="false" outlineLevel="0" collapsed="false">
      <c r="A16" s="9" t="s">
        <v>2361</v>
      </c>
      <c r="B16" s="9" t="s">
        <v>2369</v>
      </c>
      <c r="C16" s="9" t="s">
        <v>2370</v>
      </c>
      <c r="D16" s="9" t="s">
        <v>2371</v>
      </c>
      <c r="E16" s="9" t="s">
        <v>2365</v>
      </c>
      <c r="F16" s="9" t="s">
        <v>204</v>
      </c>
    </row>
    <row r="17" customFormat="false" ht="15" hidden="false" customHeight="false" outlineLevel="0" collapsed="false">
      <c r="A17" s="9" t="s">
        <v>2372</v>
      </c>
      <c r="B17" s="9" t="s">
        <v>2373</v>
      </c>
      <c r="C17" s="9" t="s">
        <v>2374</v>
      </c>
      <c r="D17" s="9" t="s">
        <v>353</v>
      </c>
      <c r="E17" s="9" t="s">
        <v>2365</v>
      </c>
      <c r="F17" s="9" t="s">
        <v>351</v>
      </c>
    </row>
    <row r="18" customFormat="false" ht="15" hidden="false" customHeight="false" outlineLevel="0" collapsed="false">
      <c r="A18" s="9" t="s">
        <v>28</v>
      </c>
      <c r="B18" s="9" t="s">
        <v>2375</v>
      </c>
      <c r="C18" s="9" t="s">
        <v>2376</v>
      </c>
      <c r="D18" s="9" t="s">
        <v>2377</v>
      </c>
      <c r="E18" s="9" t="s">
        <v>2378</v>
      </c>
      <c r="F18" s="9" t="s">
        <v>389</v>
      </c>
    </row>
    <row r="19" customFormat="false" ht="15" hidden="false" customHeight="false" outlineLevel="0" collapsed="false">
      <c r="A19" s="9" t="s">
        <v>28</v>
      </c>
      <c r="B19" s="9" t="s">
        <v>2379</v>
      </c>
      <c r="C19" s="9" t="s">
        <v>2380</v>
      </c>
      <c r="D19" s="9" t="s">
        <v>2381</v>
      </c>
      <c r="E19" s="9" t="s">
        <v>2378</v>
      </c>
      <c r="F19" s="9" t="s">
        <v>128</v>
      </c>
    </row>
    <row r="20" customFormat="false" ht="15" hidden="false" customHeight="false" outlineLevel="0" collapsed="false">
      <c r="A20" s="9" t="s">
        <v>28</v>
      </c>
      <c r="B20" s="9" t="s">
        <v>2382</v>
      </c>
      <c r="C20" s="9" t="s">
        <v>2383</v>
      </c>
      <c r="D20" s="9" t="s">
        <v>2384</v>
      </c>
      <c r="E20" s="9" t="s">
        <v>2378</v>
      </c>
      <c r="F20" s="9" t="s">
        <v>104</v>
      </c>
    </row>
    <row r="21" customFormat="false" ht="15" hidden="false" customHeight="false" outlineLevel="0" collapsed="false">
      <c r="A21" s="9" t="s">
        <v>28</v>
      </c>
      <c r="B21" s="9" t="s">
        <v>2385</v>
      </c>
      <c r="C21" s="9" t="s">
        <v>2386</v>
      </c>
      <c r="D21" s="9" t="s">
        <v>2387</v>
      </c>
      <c r="E21" s="9" t="s">
        <v>2388</v>
      </c>
      <c r="F21" s="9" t="s">
        <v>1160</v>
      </c>
    </row>
    <row r="22" customFormat="false" ht="15" hidden="false" customHeight="false" outlineLevel="0" collapsed="false">
      <c r="A22" s="9" t="s">
        <v>2187</v>
      </c>
      <c r="B22" s="9" t="s">
        <v>236</v>
      </c>
      <c r="C22" s="9" t="s">
        <v>2389</v>
      </c>
      <c r="D22" s="9" t="s">
        <v>41</v>
      </c>
      <c r="E22" s="9" t="s">
        <v>2187</v>
      </c>
      <c r="F22" s="9" t="s">
        <v>232</v>
      </c>
    </row>
    <row r="23" customFormat="false" ht="15" hidden="false" customHeight="false" outlineLevel="0" collapsed="false">
      <c r="A23" s="9" t="s">
        <v>2187</v>
      </c>
      <c r="B23" s="9" t="s">
        <v>2390</v>
      </c>
      <c r="C23" s="9" t="s">
        <v>2391</v>
      </c>
      <c r="D23" s="9" t="s">
        <v>416</v>
      </c>
      <c r="E23" s="9" t="s">
        <v>2187</v>
      </c>
      <c r="F23" s="9" t="s">
        <v>420</v>
      </c>
    </row>
    <row r="24" customFormat="false" ht="15" hidden="false" customHeight="false" outlineLevel="0" collapsed="false">
      <c r="A24" s="9" t="s">
        <v>2187</v>
      </c>
      <c r="B24" s="9" t="s">
        <v>2392</v>
      </c>
      <c r="C24" s="9" t="s">
        <v>2393</v>
      </c>
      <c r="D24" s="9" t="s">
        <v>2394</v>
      </c>
      <c r="E24" s="9" t="s">
        <v>2395</v>
      </c>
      <c r="F24" s="9" t="s">
        <v>86</v>
      </c>
    </row>
    <row r="25" customFormat="false" ht="15" hidden="false" customHeight="false" outlineLevel="0" collapsed="false">
      <c r="A25" s="9" t="s">
        <v>30</v>
      </c>
      <c r="B25" s="9" t="s">
        <v>320</v>
      </c>
      <c r="C25" s="9" t="s">
        <v>2396</v>
      </c>
      <c r="D25" s="9" t="s">
        <v>2397</v>
      </c>
      <c r="E25" s="9" t="s">
        <v>2398</v>
      </c>
      <c r="F25" s="9" t="s">
        <v>316</v>
      </c>
    </row>
    <row r="26" customFormat="false" ht="15" hidden="false" customHeight="false" outlineLevel="0" collapsed="false">
      <c r="A26" s="9" t="s">
        <v>30</v>
      </c>
      <c r="B26" s="9" t="s">
        <v>2399</v>
      </c>
      <c r="C26" s="9" t="s">
        <v>2400</v>
      </c>
      <c r="D26" s="9" t="s">
        <v>2401</v>
      </c>
      <c r="E26" s="9" t="s">
        <v>2398</v>
      </c>
      <c r="F26" s="9" t="s">
        <v>1311</v>
      </c>
    </row>
    <row r="27" customFormat="false" ht="15" hidden="false" customHeight="false" outlineLevel="0" collapsed="false">
      <c r="A27" s="9" t="s">
        <v>30</v>
      </c>
      <c r="B27" s="9" t="s">
        <v>2402</v>
      </c>
      <c r="C27" s="9" t="s">
        <v>2393</v>
      </c>
      <c r="D27" s="9" t="s">
        <v>2397</v>
      </c>
      <c r="E27" s="9" t="s">
        <v>2403</v>
      </c>
      <c r="F27" s="9" t="s">
        <v>50</v>
      </c>
    </row>
    <row r="28" customFormat="false" ht="15" hidden="false" customHeight="false" outlineLevel="0" collapsed="false">
      <c r="A28" s="9" t="s">
        <v>2372</v>
      </c>
      <c r="B28" s="9" t="s">
        <v>2404</v>
      </c>
      <c r="C28" s="9" t="s">
        <v>2405</v>
      </c>
      <c r="D28" s="9" t="s">
        <v>2406</v>
      </c>
      <c r="E28" s="9" t="s">
        <v>2407</v>
      </c>
      <c r="F28" s="9" t="s">
        <v>58</v>
      </c>
    </row>
    <row r="29" customFormat="false" ht="15" hidden="false" customHeight="false" outlineLevel="0" collapsed="false">
      <c r="A29" s="9" t="s">
        <v>2372</v>
      </c>
      <c r="B29" s="9" t="s">
        <v>2408</v>
      </c>
      <c r="C29" s="9" t="s">
        <v>2409</v>
      </c>
      <c r="D29" s="9" t="s">
        <v>2410</v>
      </c>
      <c r="E29" s="9" t="s">
        <v>2407</v>
      </c>
      <c r="F29" s="9" t="s">
        <v>573</v>
      </c>
    </row>
    <row r="30" customFormat="false" ht="15" hidden="false" customHeight="false" outlineLevel="0" collapsed="false">
      <c r="A30" s="9" t="s">
        <v>2411</v>
      </c>
      <c r="B30" s="9" t="s">
        <v>2412</v>
      </c>
      <c r="C30" s="9" t="s">
        <v>2413</v>
      </c>
      <c r="D30" s="9" t="s">
        <v>1596</v>
      </c>
      <c r="E30" s="9" t="s">
        <v>2414</v>
      </c>
      <c r="F30" s="9" t="s">
        <v>2240</v>
      </c>
    </row>
    <row r="31" customFormat="false" ht="15" hidden="false" customHeight="false" outlineLevel="0" collapsed="false">
      <c r="A31" s="9" t="s">
        <v>2411</v>
      </c>
      <c r="B31" s="9" t="s">
        <v>2415</v>
      </c>
      <c r="C31" s="9" t="s">
        <v>2416</v>
      </c>
      <c r="D31" s="9" t="s">
        <v>1596</v>
      </c>
      <c r="E31" s="9" t="s">
        <v>2414</v>
      </c>
      <c r="F31" s="9" t="s">
        <v>749</v>
      </c>
    </row>
    <row r="32" customFormat="false" ht="15" hidden="false" customHeight="false" outlineLevel="0" collapsed="false">
      <c r="A32" s="9" t="s">
        <v>2411</v>
      </c>
      <c r="B32" s="9" t="s">
        <v>2392</v>
      </c>
      <c r="C32" s="9" t="s">
        <v>2393</v>
      </c>
      <c r="D32" s="9" t="s">
        <v>2204</v>
      </c>
      <c r="E32" s="9" t="s">
        <v>2417</v>
      </c>
      <c r="F32" s="9" t="s">
        <v>76</v>
      </c>
    </row>
    <row r="33" customFormat="false" ht="15" hidden="false" customHeight="false" outlineLevel="0" collapsed="false">
      <c r="A33" s="9" t="s">
        <v>32</v>
      </c>
      <c r="B33" s="9" t="s">
        <v>2418</v>
      </c>
      <c r="C33" s="9" t="s">
        <v>2419</v>
      </c>
      <c r="D33" s="9" t="s">
        <v>2420</v>
      </c>
      <c r="E33" s="9" t="s">
        <v>2421</v>
      </c>
      <c r="F33" s="9" t="s">
        <v>133</v>
      </c>
    </row>
    <row r="34" customFormat="false" ht="15" hidden="false" customHeight="false" outlineLevel="0" collapsed="false">
      <c r="A34" s="9" t="s">
        <v>33</v>
      </c>
      <c r="B34" s="9" t="s">
        <v>2422</v>
      </c>
      <c r="C34" s="9" t="s">
        <v>2423</v>
      </c>
      <c r="D34" s="9" t="s">
        <v>2424</v>
      </c>
      <c r="E34" s="9" t="s">
        <v>2190</v>
      </c>
      <c r="F34" s="9" t="s">
        <v>793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55"/>
    <col collapsed="false" customWidth="true" hidden="false" outlineLevel="0" max="4" min="4" style="0" width="24"/>
    <col collapsed="false" customWidth="true" hidden="false" outlineLevel="0" max="5" min="5" style="0" width="9"/>
  </cols>
  <sheetData>
    <row r="1" customFormat="false" ht="17.35" hidden="false" customHeight="false" outlineLevel="0" collapsed="false">
      <c r="A1" s="1" t="s">
        <v>2425</v>
      </c>
    </row>
    <row r="2" customFormat="false" ht="15" hidden="false" customHeight="false" outlineLevel="0" collapsed="false">
      <c r="A2" s="2" t="s">
        <v>2426</v>
      </c>
    </row>
    <row r="4" customFormat="false" ht="15" hidden="false" customHeight="false" outlineLevel="0" collapsed="false">
      <c r="A4" s="8" t="s">
        <v>2427</v>
      </c>
      <c r="B4" s="8" t="s">
        <v>2428</v>
      </c>
      <c r="C4" s="8" t="s">
        <v>2429</v>
      </c>
      <c r="D4" s="8" t="s">
        <v>2430</v>
      </c>
      <c r="E4" s="8" t="s">
        <v>2431</v>
      </c>
    </row>
    <row r="5" customFormat="false" ht="23.85" hidden="false" customHeight="false" outlineLevel="0" collapsed="false">
      <c r="A5" s="9" t="n">
        <v>1</v>
      </c>
      <c r="B5" s="9" t="s">
        <v>2432</v>
      </c>
      <c r="C5" s="9" t="s">
        <v>2433</v>
      </c>
      <c r="D5" s="9" t="s">
        <v>2434</v>
      </c>
      <c r="E5" s="9" t="n">
        <v>160</v>
      </c>
    </row>
    <row r="6" customFormat="false" ht="15" hidden="false" customHeight="false" outlineLevel="0" collapsed="false">
      <c r="A6" s="9" t="n">
        <v>2</v>
      </c>
      <c r="B6" s="9" t="s">
        <v>2435</v>
      </c>
      <c r="C6" s="9" t="s">
        <v>2436</v>
      </c>
      <c r="D6" s="9" t="s">
        <v>2437</v>
      </c>
      <c r="E6" s="9" t="n">
        <v>439</v>
      </c>
    </row>
    <row r="7" customFormat="false" ht="15" hidden="false" customHeight="false" outlineLevel="0" collapsed="false">
      <c r="A7" s="9" t="n">
        <v>3</v>
      </c>
      <c r="B7" s="9" t="s">
        <v>2438</v>
      </c>
      <c r="C7" s="9" t="s">
        <v>2439</v>
      </c>
      <c r="D7" s="9" t="s">
        <v>2330</v>
      </c>
      <c r="E7" s="9" t="n">
        <v>17</v>
      </c>
    </row>
    <row r="8" customFormat="false" ht="23.85" hidden="false" customHeight="false" outlineLevel="0" collapsed="false">
      <c r="A8" s="9" t="n">
        <v>4</v>
      </c>
      <c r="B8" s="9" t="s">
        <v>2440</v>
      </c>
      <c r="C8" s="9" t="s">
        <v>2441</v>
      </c>
      <c r="D8" s="9" t="s">
        <v>2442</v>
      </c>
      <c r="E8" s="9" t="n">
        <v>12</v>
      </c>
    </row>
    <row r="9" customFormat="false" ht="15" hidden="false" customHeight="false" outlineLevel="0" collapsed="false">
      <c r="A9" s="9" t="n">
        <v>5</v>
      </c>
      <c r="B9" s="9" t="s">
        <v>2443</v>
      </c>
      <c r="C9" s="9" t="s">
        <v>2444</v>
      </c>
      <c r="D9" s="9" t="s">
        <v>2445</v>
      </c>
      <c r="E9" s="9" t="n">
        <v>17</v>
      </c>
    </row>
    <row r="10" customFormat="false" ht="23.85" hidden="false" customHeight="false" outlineLevel="0" collapsed="false">
      <c r="A10" s="9" t="n">
        <v>6</v>
      </c>
      <c r="B10" s="9" t="s">
        <v>2446</v>
      </c>
      <c r="C10" s="9" t="s">
        <v>2447</v>
      </c>
      <c r="D10" s="9" t="s">
        <v>2448</v>
      </c>
      <c r="E10" s="9" t="n">
        <v>86</v>
      </c>
    </row>
    <row r="11" customFormat="false" ht="15" hidden="false" customHeight="false" outlineLevel="0" collapsed="false">
      <c r="A11" s="9" t="n">
        <v>7</v>
      </c>
      <c r="B11" s="9" t="s">
        <v>2449</v>
      </c>
      <c r="C11" s="9" t="s">
        <v>2450</v>
      </c>
      <c r="D11" s="9" t="s">
        <v>2360</v>
      </c>
      <c r="E11" s="9" t="n">
        <v>60</v>
      </c>
    </row>
    <row r="12" customFormat="false" ht="23.85" hidden="false" customHeight="false" outlineLevel="0" collapsed="false">
      <c r="A12" s="9" t="n">
        <v>8</v>
      </c>
      <c r="B12" s="9" t="s">
        <v>2451</v>
      </c>
      <c r="C12" s="9" t="s">
        <v>2452</v>
      </c>
      <c r="D12" s="9" t="s">
        <v>2453</v>
      </c>
      <c r="E12" s="9" t="n">
        <v>260</v>
      </c>
    </row>
    <row r="13" customFormat="false" ht="23.85" hidden="false" customHeight="false" outlineLevel="0" collapsed="false">
      <c r="A13" s="9" t="n">
        <v>9</v>
      </c>
      <c r="B13" s="9" t="s">
        <v>2454</v>
      </c>
      <c r="C13" s="9" t="s">
        <v>2455</v>
      </c>
      <c r="D13" s="9" t="s">
        <v>2456</v>
      </c>
      <c r="E13" s="9" t="n">
        <v>123</v>
      </c>
    </row>
    <row r="14" customFormat="false" ht="15" hidden="false" customHeight="false" outlineLevel="0" collapsed="false">
      <c r="A14" s="9" t="n">
        <v>10</v>
      </c>
      <c r="B14" s="9" t="s">
        <v>2457</v>
      </c>
      <c r="C14" s="9" t="s">
        <v>2458</v>
      </c>
      <c r="D14" s="9" t="s">
        <v>2388</v>
      </c>
      <c r="E14" s="9" t="n">
        <v>12</v>
      </c>
    </row>
    <row r="15" customFormat="false" ht="15" hidden="false" customHeight="false" outlineLevel="0" collapsed="false">
      <c r="A15" s="9" t="n">
        <v>11</v>
      </c>
      <c r="B15" s="9" t="s">
        <v>2459</v>
      </c>
      <c r="C15" s="9" t="s">
        <v>2460</v>
      </c>
      <c r="D15" s="9" t="s">
        <v>2187</v>
      </c>
      <c r="E15" s="9" t="n">
        <v>87</v>
      </c>
    </row>
    <row r="16" customFormat="false" ht="15" hidden="false" customHeight="false" outlineLevel="0" collapsed="false">
      <c r="A16" s="9" t="n">
        <v>12</v>
      </c>
      <c r="B16" s="9" t="s">
        <v>2461</v>
      </c>
      <c r="C16" s="9" t="s">
        <v>2462</v>
      </c>
      <c r="D16" s="9" t="s">
        <v>2463</v>
      </c>
      <c r="E16" s="9" t="n">
        <v>22</v>
      </c>
    </row>
    <row r="17" customFormat="false" ht="15" hidden="false" customHeight="false" outlineLevel="0" collapsed="false">
      <c r="A17" s="9" t="n">
        <v>13</v>
      </c>
      <c r="B17" s="9" t="s">
        <v>2464</v>
      </c>
      <c r="C17" s="9" t="s">
        <v>2465</v>
      </c>
      <c r="D17" s="9" t="s">
        <v>2186</v>
      </c>
      <c r="E17" s="9" t="n">
        <v>293</v>
      </c>
    </row>
    <row r="18" customFormat="false" ht="15" hidden="false" customHeight="false" outlineLevel="0" collapsed="false">
      <c r="A18" s="9" t="n">
        <v>14</v>
      </c>
      <c r="B18" s="9" t="s">
        <v>2466</v>
      </c>
      <c r="C18" s="9" t="s">
        <v>2467</v>
      </c>
      <c r="D18" s="9" t="s">
        <v>2468</v>
      </c>
      <c r="E18" s="9" t="n">
        <v>56</v>
      </c>
    </row>
    <row r="19" customFormat="false" ht="15" hidden="false" customHeight="false" outlineLevel="0" collapsed="false">
      <c r="A19" s="9" t="n">
        <v>15</v>
      </c>
      <c r="B19" s="9" t="s">
        <v>2469</v>
      </c>
      <c r="C19" s="9" t="s">
        <v>2470</v>
      </c>
      <c r="D19" s="9" t="s">
        <v>2407</v>
      </c>
      <c r="E19" s="9" t="n">
        <v>28</v>
      </c>
    </row>
    <row r="20" customFormat="false" ht="15" hidden="false" customHeight="false" outlineLevel="0" collapsed="false">
      <c r="A20" s="9" t="n">
        <v>16</v>
      </c>
      <c r="B20" s="9" t="s">
        <v>2471</v>
      </c>
      <c r="C20" s="9" t="s">
        <v>2472</v>
      </c>
      <c r="D20" s="9" t="s">
        <v>2407</v>
      </c>
      <c r="E20" s="9" t="n">
        <v>9</v>
      </c>
    </row>
    <row r="21" customFormat="false" ht="15" hidden="false" customHeight="false" outlineLevel="0" collapsed="false">
      <c r="A21" s="9" t="n">
        <v>17</v>
      </c>
      <c r="B21" s="9" t="s">
        <v>2473</v>
      </c>
      <c r="C21" s="9" t="s">
        <v>2474</v>
      </c>
      <c r="D21" s="9" t="s">
        <v>2417</v>
      </c>
      <c r="E21" s="9" t="n">
        <v>305</v>
      </c>
    </row>
    <row r="22" customFormat="false" ht="15" hidden="false" customHeight="false" outlineLevel="0" collapsed="false">
      <c r="A22" s="9" t="n">
        <v>18</v>
      </c>
      <c r="B22" s="9" t="s">
        <v>2475</v>
      </c>
      <c r="C22" s="9" t="s">
        <v>2476</v>
      </c>
      <c r="D22" s="9" t="s">
        <v>2421</v>
      </c>
      <c r="E22" s="9" t="n">
        <v>21</v>
      </c>
    </row>
    <row r="23" customFormat="false" ht="15" hidden="false" customHeight="false" outlineLevel="0" collapsed="false">
      <c r="A23" s="9" t="n">
        <v>19</v>
      </c>
      <c r="B23" s="9" t="s">
        <v>2477</v>
      </c>
      <c r="C23" s="9" t="s">
        <v>2478</v>
      </c>
      <c r="D23" s="9" t="s">
        <v>2190</v>
      </c>
      <c r="E23" s="9" t="n">
        <v>16</v>
      </c>
    </row>
    <row r="24" customFormat="false" ht="15" hidden="false" customHeight="false" outlineLevel="0" collapsed="false">
      <c r="A24" s="9" t="n">
        <v>20</v>
      </c>
      <c r="B24" s="9" t="s">
        <v>2479</v>
      </c>
      <c r="C24" s="9" t="s">
        <v>2480</v>
      </c>
      <c r="D24" s="9" t="s">
        <v>2481</v>
      </c>
      <c r="E24" s="9" t="n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9" min="3" style="0" width="16"/>
  </cols>
  <sheetData>
    <row r="1" customFormat="false" ht="17.35" hidden="false" customHeight="false" outlineLevel="0" collapsed="false">
      <c r="A1" s="1" t="s">
        <v>2482</v>
      </c>
    </row>
    <row r="3" customFormat="false" ht="15" hidden="false" customHeight="false" outlineLevel="0" collapsed="false">
      <c r="A3" s="3" t="s">
        <v>2483</v>
      </c>
      <c r="B3" s="10" t="n">
        <v>46295</v>
      </c>
      <c r="C3" s="2" t="s">
        <v>2484</v>
      </c>
    </row>
    <row r="5" customFormat="false" ht="15" hidden="false" customHeight="false" outlineLevel="0" collapsed="false">
      <c r="A5" s="11" t="s">
        <v>2485</v>
      </c>
      <c r="B5" s="11" t="s">
        <v>41</v>
      </c>
      <c r="C5" s="11" t="s">
        <v>1818</v>
      </c>
      <c r="D5" s="11" t="s">
        <v>416</v>
      </c>
      <c r="E5" s="11" t="s">
        <v>2486</v>
      </c>
      <c r="F5" s="2"/>
      <c r="G5" s="2"/>
      <c r="H5" s="2"/>
      <c r="I5" s="2"/>
    </row>
    <row r="6" customFormat="false" ht="15" hidden="false" customHeight="false" outlineLevel="0" collapsed="false">
      <c r="A6" s="2" t="s">
        <v>2209</v>
      </c>
      <c r="B6" s="12" t="n">
        <f aca="false">SUMIFS(Cleaned_Data!$K$2:$K$498,Cleaned_Data!$Q$2:$Q$498,$A6,Cleaned_Data!$J$2:$J$498,B$5)</f>
        <v>17475655.67</v>
      </c>
      <c r="C6" s="12" t="n">
        <f aca="false">SUMIFS(Cleaned_Data!$K$2:$K$498,Cleaned_Data!$Q$2:$Q$498,$A6,Cleaned_Data!$J$2:$J$498,C$5)</f>
        <v>38448.34</v>
      </c>
      <c r="D6" s="12" t="n">
        <f aca="false">SUMIFS(Cleaned_Data!$K$2:$K$498,Cleaned_Data!$Q$2:$Q$498,$A6,Cleaned_Data!$J$2:$J$498,D$5)</f>
        <v>6031</v>
      </c>
      <c r="E6" s="13" t="n">
        <f aca="false">COUNTIFS(Cleaned_Data!$Q$2:$Q$498,$A6)</f>
        <v>153</v>
      </c>
      <c r="F6" s="2"/>
      <c r="G6" s="2"/>
      <c r="H6" s="2"/>
      <c r="I6" s="2"/>
    </row>
    <row r="7" customFormat="false" ht="15" hidden="false" customHeight="false" outlineLevel="0" collapsed="false">
      <c r="A7" s="2" t="s">
        <v>2207</v>
      </c>
      <c r="B7" s="12" t="n">
        <f aca="false">SUMIFS(Cleaned_Data!$K$2:$K$498,Cleaned_Data!$Q$2:$Q$498,$A7,Cleaned_Data!$J$2:$J$498,B$5)</f>
        <v>6971835.11</v>
      </c>
      <c r="C7" s="12" t="n">
        <f aca="false">SUMIFS(Cleaned_Data!$K$2:$K$498,Cleaned_Data!$Q$2:$Q$498,$A7,Cleaned_Data!$J$2:$J$498,C$5)</f>
        <v>25706.53</v>
      </c>
      <c r="D7" s="12" t="n">
        <f aca="false">SUMIFS(Cleaned_Data!$K$2:$K$498,Cleaned_Data!$Q$2:$Q$498,$A7,Cleaned_Data!$J$2:$J$498,D$5)</f>
        <v>0</v>
      </c>
      <c r="E7" s="13" t="n">
        <f aca="false">COUNTIFS(Cleaned_Data!$Q$2:$Q$498,$A7)</f>
        <v>97</v>
      </c>
      <c r="F7" s="2"/>
      <c r="G7" s="2"/>
      <c r="H7" s="2"/>
      <c r="I7" s="2"/>
    </row>
    <row r="8" customFormat="false" ht="15" hidden="false" customHeight="false" outlineLevel="0" collapsed="false">
      <c r="A8" s="2" t="s">
        <v>2205</v>
      </c>
      <c r="B8" s="12" t="n">
        <f aca="false">SUMIFS(Cleaned_Data!$K$2:$K$498,Cleaned_Data!$Q$2:$Q$498,$A8,Cleaned_Data!$J$2:$J$498,B$5)</f>
        <v>4532542.13</v>
      </c>
      <c r="C8" s="12" t="n">
        <f aca="false">SUMIFS(Cleaned_Data!$K$2:$K$498,Cleaned_Data!$Q$2:$Q$498,$A8,Cleaned_Data!$J$2:$J$498,C$5)</f>
        <v>0</v>
      </c>
      <c r="D8" s="12" t="n">
        <f aca="false">SUMIFS(Cleaned_Data!$K$2:$K$498,Cleaned_Data!$Q$2:$Q$498,$A8,Cleaned_Data!$J$2:$J$498,D$5)</f>
        <v>0</v>
      </c>
      <c r="E8" s="13" t="n">
        <f aca="false">COUNTIFS(Cleaned_Data!$Q$2:$Q$498,$A8)</f>
        <v>60</v>
      </c>
      <c r="F8" s="2"/>
      <c r="G8" s="2"/>
      <c r="H8" s="2"/>
      <c r="I8" s="2"/>
    </row>
    <row r="9" customFormat="false" ht="15" hidden="false" customHeight="false" outlineLevel="0" collapsed="false">
      <c r="A9" s="2" t="s">
        <v>2203</v>
      </c>
      <c r="B9" s="12" t="n">
        <f aca="false">SUMIFS(Cleaned_Data!$K$2:$K$498,Cleaned_Data!$Q$2:$Q$498,$A9,Cleaned_Data!$J$2:$J$498,B$5)</f>
        <v>3693329</v>
      </c>
      <c r="C9" s="12" t="n">
        <f aca="false">SUMIFS(Cleaned_Data!$K$2:$K$498,Cleaned_Data!$Q$2:$Q$498,$A9,Cleaned_Data!$J$2:$J$498,C$5)</f>
        <v>1442.48</v>
      </c>
      <c r="D9" s="12" t="n">
        <f aca="false">SUMIFS(Cleaned_Data!$K$2:$K$498,Cleaned_Data!$Q$2:$Q$498,$A9,Cleaned_Data!$J$2:$J$498,D$5)</f>
        <v>0</v>
      </c>
      <c r="E9" s="13" t="n">
        <f aca="false">COUNTIFS(Cleaned_Data!$Q$2:$Q$498,$A9)</f>
        <v>37</v>
      </c>
      <c r="F9" s="2"/>
      <c r="G9" s="2"/>
      <c r="H9" s="2"/>
      <c r="I9" s="2"/>
    </row>
    <row r="10" customFormat="false" ht="15" hidden="false" customHeight="false" outlineLevel="0" collapsed="false">
      <c r="A10" s="2" t="s">
        <v>2201</v>
      </c>
      <c r="B10" s="12" t="n">
        <f aca="false">SUMIFS(Cleaned_Data!$K$2:$K$498,Cleaned_Data!$Q$2:$Q$498,$A10,Cleaned_Data!$J$2:$J$498,B$5)</f>
        <v>7143316.71</v>
      </c>
      <c r="C10" s="12" t="n">
        <f aca="false">SUMIFS(Cleaned_Data!$K$2:$K$498,Cleaned_Data!$Q$2:$Q$498,$A10,Cleaned_Data!$J$2:$J$498,C$5)</f>
        <v>14300.94</v>
      </c>
      <c r="D10" s="12" t="n">
        <f aca="false">SUMIFS(Cleaned_Data!$K$2:$K$498,Cleaned_Data!$Q$2:$Q$498,$A10,Cleaned_Data!$J$2:$J$498,D$5)</f>
        <v>23856.14</v>
      </c>
      <c r="E10" s="13" t="n">
        <f aca="false">COUNTIFS(Cleaned_Data!$Q$2:$Q$498,$A10)</f>
        <v>89</v>
      </c>
      <c r="F10" s="2"/>
      <c r="G10" s="2"/>
      <c r="H10" s="2"/>
      <c r="I10" s="2"/>
    </row>
    <row r="11" customFormat="false" ht="15" hidden="false" customHeight="false" outlineLevel="0" collapsed="false">
      <c r="A11" s="2" t="s">
        <v>2198</v>
      </c>
      <c r="B11" s="12" t="n">
        <f aca="false">SUMIFS(Cleaned_Data!$K$2:$K$498,Cleaned_Data!$Q$2:$Q$498,$A11,Cleaned_Data!$J$2:$J$498,B$5)</f>
        <v>5245953.68</v>
      </c>
      <c r="C11" s="12" t="n">
        <f aca="false">SUMIFS(Cleaned_Data!$K$2:$K$498,Cleaned_Data!$Q$2:$Q$498,$A11,Cleaned_Data!$J$2:$J$498,C$5)</f>
        <v>-2335.7</v>
      </c>
      <c r="D11" s="12" t="n">
        <f aca="false">SUMIFS(Cleaned_Data!$K$2:$K$498,Cleaned_Data!$Q$2:$Q$498,$A11,Cleaned_Data!$J$2:$J$498,D$5)</f>
        <v>0</v>
      </c>
      <c r="E11" s="13" t="n">
        <f aca="false">COUNTIFS(Cleaned_Data!$Q$2:$Q$498,$A11)</f>
        <v>61</v>
      </c>
      <c r="F11" s="2"/>
      <c r="G11" s="2"/>
      <c r="H11" s="2"/>
      <c r="I11" s="2"/>
    </row>
    <row r="12" customFormat="false" ht="15" hidden="false" customHeight="false" outlineLevel="0" collapsed="false">
      <c r="A12" s="3" t="s">
        <v>2487</v>
      </c>
      <c r="B12" s="14" t="n">
        <f aca="false">SUM(B6:B11)</f>
        <v>45062632.3</v>
      </c>
      <c r="C12" s="14" t="n">
        <f aca="false">SUM(C6:C11)</f>
        <v>77562.59</v>
      </c>
      <c r="D12" s="14" t="n">
        <f aca="false">SUM(D6:D11)</f>
        <v>29887.14</v>
      </c>
      <c r="E12" s="15" t="n">
        <f aca="false">SUM(E6:E11)</f>
        <v>497</v>
      </c>
      <c r="F12" s="2"/>
      <c r="G12" s="2"/>
      <c r="H12" s="2"/>
      <c r="I12" s="2"/>
    </row>
    <row r="13" customFormat="false" ht="15" hidden="false" customHeight="false" outlineLevel="0" collapsed="false">
      <c r="A13" s="2" t="s">
        <v>2488</v>
      </c>
      <c r="B13" s="16" t="n">
        <v>45062632.3</v>
      </c>
      <c r="C13" s="16" t="n">
        <v>77562.59</v>
      </c>
      <c r="D13" s="16" t="n">
        <v>29887.14</v>
      </c>
      <c r="E13" s="2"/>
      <c r="F13" s="2" t="s">
        <v>2489</v>
      </c>
      <c r="G13" s="2"/>
      <c r="H13" s="2"/>
      <c r="I13" s="2"/>
    </row>
    <row r="14" customFormat="false" ht="15" hidden="false" customHeight="false" outlineLevel="0" collapsed="false">
      <c r="A14" s="3" t="s">
        <v>2490</v>
      </c>
      <c r="B14" s="14" t="n">
        <f aca="false">ROUND(B12-B13,2)</f>
        <v>0</v>
      </c>
      <c r="C14" s="14" t="n">
        <f aca="false">ROUND(C12-C13,2)</f>
        <v>0</v>
      </c>
      <c r="D14" s="14" t="n">
        <f aca="false">ROUND(D12-D13,2)</f>
        <v>0</v>
      </c>
      <c r="E14" s="2"/>
      <c r="F14" s="2"/>
      <c r="G14" s="2"/>
      <c r="H14" s="2"/>
      <c r="I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</row>
    <row r="17" customFormat="false" ht="15" hidden="false" customHeight="false" outlineLevel="0" collapsed="false">
      <c r="A17" s="3" t="s">
        <v>2491</v>
      </c>
      <c r="B17" s="2"/>
      <c r="C17" s="2"/>
      <c r="D17" s="2"/>
      <c r="E17" s="2"/>
      <c r="F17" s="2"/>
      <c r="G17" s="2"/>
      <c r="H17" s="2"/>
      <c r="I17" s="2"/>
    </row>
    <row r="18" customFormat="false" ht="15" hidden="false" customHeight="false" outlineLevel="0" collapsed="false">
      <c r="A18" s="11" t="s">
        <v>2178</v>
      </c>
      <c r="B18" s="11" t="s">
        <v>2492</v>
      </c>
      <c r="C18" s="11" t="s">
        <v>2209</v>
      </c>
      <c r="D18" s="11" t="s">
        <v>2207</v>
      </c>
      <c r="E18" s="11" t="s">
        <v>2205</v>
      </c>
      <c r="F18" s="11" t="s">
        <v>2203</v>
      </c>
      <c r="G18" s="11" t="s">
        <v>2201</v>
      </c>
      <c r="H18" s="11" t="s">
        <v>2198</v>
      </c>
      <c r="I18" s="11" t="s">
        <v>2487</v>
      </c>
    </row>
    <row r="19" customFormat="false" ht="15" hidden="false" customHeight="false" outlineLevel="0" collapsed="false">
      <c r="A19" s="2" t="s">
        <v>2194</v>
      </c>
      <c r="B19" s="2" t="s">
        <v>35</v>
      </c>
      <c r="C19" s="12" t="n">
        <f aca="false">SUMIFS(Cleaned_Data!$K$2:$K$498,Cleaned_Data!$A$2:$A$498,$A19,Cleaned_Data!$J$2:$J$498,"INR",Cleaned_Data!$Q$2:$Q$498,C$18)</f>
        <v>793093.71</v>
      </c>
      <c r="D19" s="12" t="n">
        <f aca="false">SUMIFS(Cleaned_Data!$K$2:$K$498,Cleaned_Data!$A$2:$A$498,$A19,Cleaned_Data!$J$2:$J$498,"INR",Cleaned_Data!$Q$2:$Q$498,D$18)</f>
        <v>271651.85</v>
      </c>
      <c r="E19" s="12" t="n">
        <f aca="false">SUMIFS(Cleaned_Data!$K$2:$K$498,Cleaned_Data!$A$2:$A$498,$A19,Cleaned_Data!$J$2:$J$498,"INR",Cleaned_Data!$Q$2:$Q$498,E$18)</f>
        <v>242009.47</v>
      </c>
      <c r="F19" s="12" t="n">
        <f aca="false">SUMIFS(Cleaned_Data!$K$2:$K$498,Cleaned_Data!$A$2:$A$498,$A19,Cleaned_Data!$J$2:$J$498,"INR",Cleaned_Data!$Q$2:$Q$498,F$18)</f>
        <v>104685</v>
      </c>
      <c r="G19" s="12" t="n">
        <f aca="false">SUMIFS(Cleaned_Data!$K$2:$K$498,Cleaned_Data!$A$2:$A$498,$A19,Cleaned_Data!$J$2:$J$498,"INR",Cleaned_Data!$Q$2:$Q$498,G$18)</f>
        <v>39270</v>
      </c>
      <c r="H19" s="12" t="n">
        <f aca="false">SUMIFS(Cleaned_Data!$K$2:$K$498,Cleaned_Data!$A$2:$A$498,$A19,Cleaned_Data!$J$2:$J$498,"INR",Cleaned_Data!$Q$2:$Q$498,H$18)</f>
        <v>123013.66</v>
      </c>
      <c r="I19" s="12" t="n">
        <f aca="false">SUM(C19:H19)</f>
        <v>1573723.69</v>
      </c>
    </row>
    <row r="20" customFormat="false" ht="15" hidden="false" customHeight="false" outlineLevel="0" collapsed="false">
      <c r="A20" s="2" t="s">
        <v>126</v>
      </c>
      <c r="B20" s="2" t="s">
        <v>127</v>
      </c>
      <c r="C20" s="12" t="n">
        <f aca="false">SUMIFS(Cleaned_Data!$K$2:$K$498,Cleaned_Data!$A$2:$A$498,$A20,Cleaned_Data!$J$2:$J$498,"INR",Cleaned_Data!$Q$2:$Q$498,C$18)</f>
        <v>0</v>
      </c>
      <c r="D20" s="12" t="n">
        <f aca="false">SUMIFS(Cleaned_Data!$K$2:$K$498,Cleaned_Data!$A$2:$A$498,$A20,Cleaned_Data!$J$2:$J$498,"INR",Cleaned_Data!$Q$2:$Q$498,D$18)</f>
        <v>140774</v>
      </c>
      <c r="E20" s="12" t="n">
        <f aca="false">SUMIFS(Cleaned_Data!$K$2:$K$498,Cleaned_Data!$A$2:$A$498,$A20,Cleaned_Data!$J$2:$J$498,"INR",Cleaned_Data!$Q$2:$Q$498,E$18)</f>
        <v>-20619.99</v>
      </c>
      <c r="F20" s="12" t="n">
        <f aca="false">SUMIFS(Cleaned_Data!$K$2:$K$498,Cleaned_Data!$A$2:$A$498,$A20,Cleaned_Data!$J$2:$J$498,"INR",Cleaned_Data!$Q$2:$Q$498,F$18)</f>
        <v>0</v>
      </c>
      <c r="G20" s="12" t="n">
        <f aca="false">SUMIFS(Cleaned_Data!$K$2:$K$498,Cleaned_Data!$A$2:$A$498,$A20,Cleaned_Data!$J$2:$J$498,"INR",Cleaned_Data!$Q$2:$Q$498,G$18)</f>
        <v>0</v>
      </c>
      <c r="H20" s="12" t="n">
        <f aca="false">SUMIFS(Cleaned_Data!$K$2:$K$498,Cleaned_Data!$A$2:$A$498,$A20,Cleaned_Data!$J$2:$J$498,"INR",Cleaned_Data!$Q$2:$Q$498,H$18)</f>
        <v>0</v>
      </c>
      <c r="I20" s="12" t="n">
        <f aca="false">SUM(C20:H20)</f>
        <v>120154.01</v>
      </c>
    </row>
    <row r="21" customFormat="false" ht="15" hidden="false" customHeight="false" outlineLevel="0" collapsed="false">
      <c r="A21" s="2" t="s">
        <v>140</v>
      </c>
      <c r="B21" s="2" t="s">
        <v>141</v>
      </c>
      <c r="C21" s="12" t="n">
        <f aca="false">SUMIFS(Cleaned_Data!$K$2:$K$498,Cleaned_Data!$A$2:$A$498,$A21,Cleaned_Data!$J$2:$J$498,"INR",Cleaned_Data!$Q$2:$Q$498,C$18)</f>
        <v>0</v>
      </c>
      <c r="D21" s="12" t="n">
        <f aca="false">SUMIFS(Cleaned_Data!$K$2:$K$498,Cleaned_Data!$A$2:$A$498,$A21,Cleaned_Data!$J$2:$J$498,"INR",Cleaned_Data!$Q$2:$Q$498,D$18)</f>
        <v>43424</v>
      </c>
      <c r="E21" s="12" t="n">
        <f aca="false">SUMIFS(Cleaned_Data!$K$2:$K$498,Cleaned_Data!$A$2:$A$498,$A21,Cleaned_Data!$J$2:$J$498,"INR",Cleaned_Data!$Q$2:$Q$498,E$18)</f>
        <v>0</v>
      </c>
      <c r="F21" s="12" t="n">
        <f aca="false">SUMIFS(Cleaned_Data!$K$2:$K$498,Cleaned_Data!$A$2:$A$498,$A21,Cleaned_Data!$J$2:$J$498,"INR",Cleaned_Data!$Q$2:$Q$498,F$18)</f>
        <v>61360</v>
      </c>
      <c r="G21" s="12" t="n">
        <f aca="false">SUMIFS(Cleaned_Data!$K$2:$K$498,Cleaned_Data!$A$2:$A$498,$A21,Cleaned_Data!$J$2:$J$498,"INR",Cleaned_Data!$Q$2:$Q$498,G$18)</f>
        <v>0</v>
      </c>
      <c r="H21" s="12" t="n">
        <f aca="false">SUMIFS(Cleaned_Data!$K$2:$K$498,Cleaned_Data!$A$2:$A$498,$A21,Cleaned_Data!$J$2:$J$498,"INR",Cleaned_Data!$Q$2:$Q$498,H$18)</f>
        <v>0</v>
      </c>
      <c r="I21" s="12" t="n">
        <f aca="false">SUM(C21:H21)</f>
        <v>104784</v>
      </c>
    </row>
    <row r="22" customFormat="false" ht="15" hidden="false" customHeight="false" outlineLevel="0" collapsed="false">
      <c r="A22" s="2" t="s">
        <v>155</v>
      </c>
      <c r="B22" s="2" t="s">
        <v>156</v>
      </c>
      <c r="C22" s="12" t="n">
        <f aca="false">SUMIFS(Cleaned_Data!$K$2:$K$498,Cleaned_Data!$A$2:$A$498,$A22,Cleaned_Data!$J$2:$J$498,"INR",Cleaned_Data!$Q$2:$Q$498,C$18)</f>
        <v>817654.53</v>
      </c>
      <c r="D22" s="12" t="n">
        <f aca="false">SUMIFS(Cleaned_Data!$K$2:$K$498,Cleaned_Data!$A$2:$A$498,$A22,Cleaned_Data!$J$2:$J$498,"INR",Cleaned_Data!$Q$2:$Q$498,D$18)</f>
        <v>114040.89</v>
      </c>
      <c r="E22" s="12" t="n">
        <f aca="false">SUMIFS(Cleaned_Data!$K$2:$K$498,Cleaned_Data!$A$2:$A$498,$A22,Cleaned_Data!$J$2:$J$498,"INR",Cleaned_Data!$Q$2:$Q$498,E$18)</f>
        <v>346721.57</v>
      </c>
      <c r="F22" s="12" t="n">
        <f aca="false">SUMIFS(Cleaned_Data!$K$2:$K$498,Cleaned_Data!$A$2:$A$498,$A22,Cleaned_Data!$J$2:$J$498,"INR",Cleaned_Data!$Q$2:$Q$498,F$18)</f>
        <v>611380</v>
      </c>
      <c r="G22" s="12" t="n">
        <f aca="false">SUMIFS(Cleaned_Data!$K$2:$K$498,Cleaned_Data!$A$2:$A$498,$A22,Cleaned_Data!$J$2:$J$498,"INR",Cleaned_Data!$Q$2:$Q$498,G$18)</f>
        <v>53018</v>
      </c>
      <c r="H22" s="12" t="n">
        <f aca="false">SUMIFS(Cleaned_Data!$K$2:$K$498,Cleaned_Data!$A$2:$A$498,$A22,Cleaned_Data!$J$2:$J$498,"INR",Cleaned_Data!$Q$2:$Q$498,H$18)</f>
        <v>617161</v>
      </c>
      <c r="I22" s="12" t="n">
        <f aca="false">SUM(C22:H22)</f>
        <v>2559975.99</v>
      </c>
    </row>
    <row r="23" customFormat="false" ht="15" hidden="false" customHeight="false" outlineLevel="0" collapsed="false">
      <c r="A23" s="2" t="s">
        <v>253</v>
      </c>
      <c r="B23" s="2" t="s">
        <v>254</v>
      </c>
      <c r="C23" s="12" t="n">
        <f aca="false">SUMIFS(Cleaned_Data!$K$2:$K$498,Cleaned_Data!$A$2:$A$498,$A23,Cleaned_Data!$J$2:$J$498,"INR",Cleaned_Data!$Q$2:$Q$498,C$18)</f>
        <v>617186.9</v>
      </c>
      <c r="D23" s="12" t="n">
        <f aca="false">SUMIFS(Cleaned_Data!$K$2:$K$498,Cleaned_Data!$A$2:$A$498,$A23,Cleaned_Data!$J$2:$J$498,"INR",Cleaned_Data!$Q$2:$Q$498,D$18)</f>
        <v>0</v>
      </c>
      <c r="E23" s="12" t="n">
        <f aca="false">SUMIFS(Cleaned_Data!$K$2:$K$498,Cleaned_Data!$A$2:$A$498,$A23,Cleaned_Data!$J$2:$J$498,"INR",Cleaned_Data!$Q$2:$Q$498,E$18)</f>
        <v>52392</v>
      </c>
      <c r="F23" s="12" t="n">
        <f aca="false">SUMIFS(Cleaned_Data!$K$2:$K$498,Cleaned_Data!$A$2:$A$498,$A23,Cleaned_Data!$J$2:$J$498,"INR",Cleaned_Data!$Q$2:$Q$498,F$18)</f>
        <v>118944</v>
      </c>
      <c r="G23" s="12" t="n">
        <f aca="false">SUMIFS(Cleaned_Data!$K$2:$K$498,Cleaned_Data!$A$2:$A$498,$A23,Cleaned_Data!$J$2:$J$498,"INR",Cleaned_Data!$Q$2:$Q$498,G$18)</f>
        <v>0</v>
      </c>
      <c r="H23" s="12" t="n">
        <f aca="false">SUMIFS(Cleaned_Data!$K$2:$K$498,Cleaned_Data!$A$2:$A$498,$A23,Cleaned_Data!$J$2:$J$498,"INR",Cleaned_Data!$Q$2:$Q$498,H$18)</f>
        <v>0</v>
      </c>
      <c r="I23" s="12" t="n">
        <f aca="false">SUM(C23:H23)</f>
        <v>788522.9</v>
      </c>
    </row>
    <row r="24" customFormat="false" ht="15" hidden="false" customHeight="false" outlineLevel="0" collapsed="false">
      <c r="A24" s="2" t="s">
        <v>2219</v>
      </c>
      <c r="B24" s="2" t="s">
        <v>310</v>
      </c>
      <c r="C24" s="12" t="n">
        <f aca="false">SUMIFS(Cleaned_Data!$K$2:$K$498,Cleaned_Data!$A$2:$A$498,$A24,Cleaned_Data!$J$2:$J$498,"INR",Cleaned_Data!$Q$2:$Q$498,C$18)</f>
        <v>312503.87</v>
      </c>
      <c r="D24" s="12" t="n">
        <f aca="false">SUMIFS(Cleaned_Data!$K$2:$K$498,Cleaned_Data!$A$2:$A$498,$A24,Cleaned_Data!$J$2:$J$498,"INR",Cleaned_Data!$Q$2:$Q$498,D$18)</f>
        <v>0</v>
      </c>
      <c r="E24" s="12" t="n">
        <f aca="false">SUMIFS(Cleaned_Data!$K$2:$K$498,Cleaned_Data!$A$2:$A$498,$A24,Cleaned_Data!$J$2:$J$498,"INR",Cleaned_Data!$Q$2:$Q$498,E$18)</f>
        <v>12238.72</v>
      </c>
      <c r="F24" s="12" t="n">
        <f aca="false">SUMIFS(Cleaned_Data!$K$2:$K$498,Cleaned_Data!$A$2:$A$498,$A24,Cleaned_Data!$J$2:$J$498,"INR",Cleaned_Data!$Q$2:$Q$498,F$18)</f>
        <v>-15900</v>
      </c>
      <c r="G24" s="12" t="n">
        <f aca="false">SUMIFS(Cleaned_Data!$K$2:$K$498,Cleaned_Data!$A$2:$A$498,$A24,Cleaned_Data!$J$2:$J$498,"INR",Cleaned_Data!$Q$2:$Q$498,G$18)</f>
        <v>-363102</v>
      </c>
      <c r="H24" s="12" t="n">
        <f aca="false">SUMIFS(Cleaned_Data!$K$2:$K$498,Cleaned_Data!$A$2:$A$498,$A24,Cleaned_Data!$J$2:$J$498,"INR",Cleaned_Data!$Q$2:$Q$498,H$18)</f>
        <v>94282</v>
      </c>
      <c r="I24" s="12" t="n">
        <f aca="false">SUM(C24:H24)</f>
        <v>40022.59</v>
      </c>
    </row>
    <row r="25" customFormat="false" ht="15" hidden="false" customHeight="false" outlineLevel="0" collapsed="false">
      <c r="A25" s="2" t="s">
        <v>361</v>
      </c>
      <c r="B25" s="2" t="s">
        <v>362</v>
      </c>
      <c r="C25" s="12" t="n">
        <f aca="false">SUMIFS(Cleaned_Data!$K$2:$K$498,Cleaned_Data!$A$2:$A$498,$A25,Cleaned_Data!$J$2:$J$498,"INR",Cleaned_Data!$Q$2:$Q$498,C$18)</f>
        <v>457342</v>
      </c>
      <c r="D25" s="12" t="n">
        <f aca="false">SUMIFS(Cleaned_Data!$K$2:$K$498,Cleaned_Data!$A$2:$A$498,$A25,Cleaned_Data!$J$2:$J$498,"INR",Cleaned_Data!$Q$2:$Q$498,D$18)</f>
        <v>-239066</v>
      </c>
      <c r="E25" s="12" t="n">
        <f aca="false">SUMIFS(Cleaned_Data!$K$2:$K$498,Cleaned_Data!$A$2:$A$498,$A25,Cleaned_Data!$J$2:$J$498,"INR",Cleaned_Data!$Q$2:$Q$498,E$18)</f>
        <v>140774</v>
      </c>
      <c r="F25" s="12" t="n">
        <f aca="false">SUMIFS(Cleaned_Data!$K$2:$K$498,Cleaned_Data!$A$2:$A$498,$A25,Cleaned_Data!$J$2:$J$498,"INR",Cleaned_Data!$Q$2:$Q$498,F$18)</f>
        <v>2950</v>
      </c>
      <c r="G25" s="12" t="n">
        <f aca="false">SUMIFS(Cleaned_Data!$K$2:$K$498,Cleaned_Data!$A$2:$A$498,$A25,Cleaned_Data!$J$2:$J$498,"INR",Cleaned_Data!$Q$2:$Q$498,G$18)</f>
        <v>79255.41</v>
      </c>
      <c r="H25" s="12" t="n">
        <f aca="false">SUMIFS(Cleaned_Data!$K$2:$K$498,Cleaned_Data!$A$2:$A$498,$A25,Cleaned_Data!$J$2:$J$498,"INR",Cleaned_Data!$Q$2:$Q$498,H$18)</f>
        <v>0</v>
      </c>
      <c r="I25" s="12" t="n">
        <f aca="false">SUM(C25:H25)</f>
        <v>441255.41</v>
      </c>
    </row>
    <row r="26" customFormat="false" ht="15" hidden="false" customHeight="false" outlineLevel="0" collapsed="false">
      <c r="A26" s="2" t="s">
        <v>464</v>
      </c>
      <c r="B26" s="2" t="s">
        <v>2228</v>
      </c>
      <c r="C26" s="12" t="n">
        <f aca="false">SUMIFS(Cleaned_Data!$K$2:$K$498,Cleaned_Data!$A$2:$A$498,$A26,Cleaned_Data!$J$2:$J$498,"INR",Cleaned_Data!$Q$2:$Q$498,C$18)</f>
        <v>220683.66</v>
      </c>
      <c r="D26" s="12" t="n">
        <f aca="false">SUMIFS(Cleaned_Data!$K$2:$K$498,Cleaned_Data!$A$2:$A$498,$A26,Cleaned_Data!$J$2:$J$498,"INR",Cleaned_Data!$Q$2:$Q$498,D$18)</f>
        <v>0</v>
      </c>
      <c r="E26" s="12" t="n">
        <f aca="false">SUMIFS(Cleaned_Data!$K$2:$K$498,Cleaned_Data!$A$2:$A$498,$A26,Cleaned_Data!$J$2:$J$498,"INR",Cleaned_Data!$Q$2:$Q$498,E$18)</f>
        <v>183179.57</v>
      </c>
      <c r="F26" s="12" t="n">
        <f aca="false">SUMIFS(Cleaned_Data!$K$2:$K$498,Cleaned_Data!$A$2:$A$498,$A26,Cleaned_Data!$J$2:$J$498,"INR",Cleaned_Data!$Q$2:$Q$498,F$18)</f>
        <v>0</v>
      </c>
      <c r="G26" s="12" t="n">
        <f aca="false">SUMIFS(Cleaned_Data!$K$2:$K$498,Cleaned_Data!$A$2:$A$498,$A26,Cleaned_Data!$J$2:$J$498,"INR",Cleaned_Data!$Q$2:$Q$498,G$18)</f>
        <v>963507.32</v>
      </c>
      <c r="H26" s="12" t="n">
        <f aca="false">SUMIFS(Cleaned_Data!$K$2:$K$498,Cleaned_Data!$A$2:$A$498,$A26,Cleaned_Data!$J$2:$J$498,"INR",Cleaned_Data!$Q$2:$Q$498,H$18)</f>
        <v>282481.8</v>
      </c>
      <c r="I26" s="12" t="n">
        <f aca="false">SUM(C26:H26)</f>
        <v>1649852.35</v>
      </c>
    </row>
    <row r="27" customFormat="false" ht="15" hidden="false" customHeight="false" outlineLevel="0" collapsed="false">
      <c r="A27" s="2" t="s">
        <v>492</v>
      </c>
      <c r="B27" s="2" t="s">
        <v>493</v>
      </c>
      <c r="C27" s="12" t="n">
        <f aca="false">SUMIFS(Cleaned_Data!$K$2:$K$498,Cleaned_Data!$A$2:$A$498,$A27,Cleaned_Data!$J$2:$J$498,"INR",Cleaned_Data!$Q$2:$Q$498,C$18)</f>
        <v>0</v>
      </c>
      <c r="D27" s="12" t="n">
        <f aca="false">SUMIFS(Cleaned_Data!$K$2:$K$498,Cleaned_Data!$A$2:$A$498,$A27,Cleaned_Data!$J$2:$J$498,"INR",Cleaned_Data!$Q$2:$Q$498,D$18)</f>
        <v>37237.34</v>
      </c>
      <c r="E27" s="12" t="n">
        <f aca="false">SUMIFS(Cleaned_Data!$K$2:$K$498,Cleaned_Data!$A$2:$A$498,$A27,Cleaned_Data!$J$2:$J$498,"INR",Cleaned_Data!$Q$2:$Q$498,E$18)</f>
        <v>50740</v>
      </c>
      <c r="F27" s="12" t="n">
        <f aca="false">SUMIFS(Cleaned_Data!$K$2:$K$498,Cleaned_Data!$A$2:$A$498,$A27,Cleaned_Data!$J$2:$J$498,"INR",Cleaned_Data!$Q$2:$Q$498,F$18)</f>
        <v>0</v>
      </c>
      <c r="G27" s="12" t="n">
        <f aca="false">SUMIFS(Cleaned_Data!$K$2:$K$498,Cleaned_Data!$A$2:$A$498,$A27,Cleaned_Data!$J$2:$J$498,"INR",Cleaned_Data!$Q$2:$Q$498,G$18)</f>
        <v>236760.76</v>
      </c>
      <c r="H27" s="12" t="n">
        <f aca="false">SUMIFS(Cleaned_Data!$K$2:$K$498,Cleaned_Data!$A$2:$A$498,$A27,Cleaned_Data!$J$2:$J$498,"INR",Cleaned_Data!$Q$2:$Q$498,H$18)</f>
        <v>0</v>
      </c>
      <c r="I27" s="12" t="n">
        <f aca="false">SUM(C27:H27)</f>
        <v>324738.1</v>
      </c>
    </row>
    <row r="28" customFormat="false" ht="15" hidden="false" customHeight="false" outlineLevel="0" collapsed="false">
      <c r="A28" s="2" t="s">
        <v>515</v>
      </c>
      <c r="B28" s="2" t="s">
        <v>516</v>
      </c>
      <c r="C28" s="12" t="n">
        <f aca="false">SUMIFS(Cleaned_Data!$K$2:$K$498,Cleaned_Data!$A$2:$A$498,$A28,Cleaned_Data!$J$2:$J$498,"INR",Cleaned_Data!$Q$2:$Q$498,C$18)</f>
        <v>544722.23</v>
      </c>
      <c r="D28" s="12" t="n">
        <f aca="false">SUMIFS(Cleaned_Data!$K$2:$K$498,Cleaned_Data!$A$2:$A$498,$A28,Cleaned_Data!$J$2:$J$498,"INR",Cleaned_Data!$Q$2:$Q$498,D$18)</f>
        <v>0</v>
      </c>
      <c r="E28" s="12" t="n">
        <f aca="false">SUMIFS(Cleaned_Data!$K$2:$K$498,Cleaned_Data!$A$2:$A$498,$A28,Cleaned_Data!$J$2:$J$498,"INR",Cleaned_Data!$Q$2:$Q$498,E$18)</f>
        <v>0</v>
      </c>
      <c r="F28" s="12" t="n">
        <f aca="false">SUMIFS(Cleaned_Data!$K$2:$K$498,Cleaned_Data!$A$2:$A$498,$A28,Cleaned_Data!$J$2:$J$498,"INR",Cleaned_Data!$Q$2:$Q$498,F$18)</f>
        <v>281314.07</v>
      </c>
      <c r="G28" s="12" t="n">
        <f aca="false">SUMIFS(Cleaned_Data!$K$2:$K$498,Cleaned_Data!$A$2:$A$498,$A28,Cleaned_Data!$J$2:$J$498,"INR",Cleaned_Data!$Q$2:$Q$498,G$18)</f>
        <v>187040.84</v>
      </c>
      <c r="H28" s="12" t="n">
        <f aca="false">SUMIFS(Cleaned_Data!$K$2:$K$498,Cleaned_Data!$A$2:$A$498,$A28,Cleaned_Data!$J$2:$J$498,"INR",Cleaned_Data!$Q$2:$Q$498,H$18)</f>
        <v>164110.95</v>
      </c>
      <c r="I28" s="12" t="n">
        <f aca="false">SUM(C28:H28)</f>
        <v>1177188.09</v>
      </c>
    </row>
    <row r="29" customFormat="false" ht="15" hidden="false" customHeight="false" outlineLevel="0" collapsed="false">
      <c r="A29" s="2" t="s">
        <v>565</v>
      </c>
      <c r="B29" s="2" t="s">
        <v>2232</v>
      </c>
      <c r="C29" s="12" t="n">
        <f aca="false">SUMIFS(Cleaned_Data!$K$2:$K$498,Cleaned_Data!$A$2:$A$498,$A29,Cleaned_Data!$J$2:$J$498,"INR",Cleaned_Data!$Q$2:$Q$498,C$18)</f>
        <v>617427.11</v>
      </c>
      <c r="D29" s="12" t="n">
        <f aca="false">SUMIFS(Cleaned_Data!$K$2:$K$498,Cleaned_Data!$A$2:$A$498,$A29,Cleaned_Data!$J$2:$J$498,"INR",Cleaned_Data!$Q$2:$Q$498,D$18)</f>
        <v>0</v>
      </c>
      <c r="E29" s="12" t="n">
        <f aca="false">SUMIFS(Cleaned_Data!$K$2:$K$498,Cleaned_Data!$A$2:$A$498,$A29,Cleaned_Data!$J$2:$J$498,"INR",Cleaned_Data!$Q$2:$Q$498,E$18)</f>
        <v>0</v>
      </c>
      <c r="F29" s="12" t="n">
        <f aca="false">SUMIFS(Cleaned_Data!$K$2:$K$498,Cleaned_Data!$A$2:$A$498,$A29,Cleaned_Data!$J$2:$J$498,"INR",Cleaned_Data!$Q$2:$Q$498,F$18)</f>
        <v>0</v>
      </c>
      <c r="G29" s="12" t="n">
        <f aca="false">SUMIFS(Cleaned_Data!$K$2:$K$498,Cleaned_Data!$A$2:$A$498,$A29,Cleaned_Data!$J$2:$J$498,"INR",Cleaned_Data!$Q$2:$Q$498,G$18)</f>
        <v>-79000</v>
      </c>
      <c r="H29" s="12" t="n">
        <f aca="false">SUMIFS(Cleaned_Data!$K$2:$K$498,Cleaned_Data!$A$2:$A$498,$A29,Cleaned_Data!$J$2:$J$498,"INR",Cleaned_Data!$Q$2:$Q$498,H$18)</f>
        <v>130527.14</v>
      </c>
      <c r="I29" s="12" t="n">
        <f aca="false">SUM(C29:H29)</f>
        <v>668954.25</v>
      </c>
    </row>
    <row r="30" customFormat="false" ht="15" hidden="false" customHeight="false" outlineLevel="0" collapsed="false">
      <c r="A30" s="2" t="s">
        <v>612</v>
      </c>
      <c r="B30" s="2" t="s">
        <v>613</v>
      </c>
      <c r="C30" s="12" t="n">
        <f aca="false">SUMIFS(Cleaned_Data!$K$2:$K$498,Cleaned_Data!$A$2:$A$498,$A30,Cleaned_Data!$J$2:$J$498,"INR",Cleaned_Data!$Q$2:$Q$498,C$18)</f>
        <v>0</v>
      </c>
      <c r="D30" s="12" t="n">
        <f aca="false">SUMIFS(Cleaned_Data!$K$2:$K$498,Cleaned_Data!$A$2:$A$498,$A30,Cleaned_Data!$J$2:$J$498,"INR",Cleaned_Data!$Q$2:$Q$498,D$18)</f>
        <v>56050</v>
      </c>
      <c r="E30" s="12" t="n">
        <f aca="false">SUMIFS(Cleaned_Data!$K$2:$K$498,Cleaned_Data!$A$2:$A$498,$A30,Cleaned_Data!$J$2:$J$498,"INR",Cleaned_Data!$Q$2:$Q$498,E$18)</f>
        <v>0</v>
      </c>
      <c r="F30" s="12" t="n">
        <f aca="false">SUMIFS(Cleaned_Data!$K$2:$K$498,Cleaned_Data!$A$2:$A$498,$A30,Cleaned_Data!$J$2:$J$498,"INR",Cleaned_Data!$Q$2:$Q$498,F$18)</f>
        <v>0</v>
      </c>
      <c r="G30" s="12" t="n">
        <f aca="false">SUMIFS(Cleaned_Data!$K$2:$K$498,Cleaned_Data!$A$2:$A$498,$A30,Cleaned_Data!$J$2:$J$498,"INR",Cleaned_Data!$Q$2:$Q$498,G$18)</f>
        <v>94147.19</v>
      </c>
      <c r="H30" s="12" t="n">
        <f aca="false">SUMIFS(Cleaned_Data!$K$2:$K$498,Cleaned_Data!$A$2:$A$498,$A30,Cleaned_Data!$J$2:$J$498,"INR",Cleaned_Data!$Q$2:$Q$498,H$18)</f>
        <v>0</v>
      </c>
      <c r="I30" s="12" t="n">
        <f aca="false">SUM(C30:H30)</f>
        <v>150197.19</v>
      </c>
    </row>
    <row r="31" customFormat="false" ht="15" hidden="false" customHeight="false" outlineLevel="0" collapsed="false">
      <c r="A31" s="2" t="s">
        <v>626</v>
      </c>
      <c r="B31" s="2" t="s">
        <v>2235</v>
      </c>
      <c r="C31" s="12" t="n">
        <f aca="false">SUMIFS(Cleaned_Data!$K$2:$K$498,Cleaned_Data!$A$2:$A$498,$A31,Cleaned_Data!$J$2:$J$498,"INR",Cleaned_Data!$Q$2:$Q$498,C$18)</f>
        <v>4458.5</v>
      </c>
      <c r="D31" s="12" t="n">
        <f aca="false">SUMIFS(Cleaned_Data!$K$2:$K$498,Cleaned_Data!$A$2:$A$498,$A31,Cleaned_Data!$J$2:$J$498,"INR",Cleaned_Data!$Q$2:$Q$498,D$18)</f>
        <v>201050.07</v>
      </c>
      <c r="E31" s="12" t="n">
        <f aca="false">SUMIFS(Cleaned_Data!$K$2:$K$498,Cleaned_Data!$A$2:$A$498,$A31,Cleaned_Data!$J$2:$J$498,"INR",Cleaned_Data!$Q$2:$Q$498,E$18)</f>
        <v>0</v>
      </c>
      <c r="F31" s="12" t="n">
        <f aca="false">SUMIFS(Cleaned_Data!$K$2:$K$498,Cleaned_Data!$A$2:$A$498,$A31,Cleaned_Data!$J$2:$J$498,"INR",Cleaned_Data!$Q$2:$Q$498,F$18)</f>
        <v>-20000</v>
      </c>
      <c r="G31" s="12" t="n">
        <f aca="false">SUMIFS(Cleaned_Data!$K$2:$K$498,Cleaned_Data!$A$2:$A$498,$A31,Cleaned_Data!$J$2:$J$498,"INR",Cleaned_Data!$Q$2:$Q$498,G$18)</f>
        <v>262550</v>
      </c>
      <c r="H31" s="12" t="n">
        <f aca="false">SUMIFS(Cleaned_Data!$K$2:$K$498,Cleaned_Data!$A$2:$A$498,$A31,Cleaned_Data!$J$2:$J$498,"INR",Cleaned_Data!$Q$2:$Q$498,H$18)</f>
        <v>172044</v>
      </c>
      <c r="I31" s="12" t="n">
        <f aca="false">SUM(C31:H31)</f>
        <v>620102.57</v>
      </c>
    </row>
    <row r="32" customFormat="false" ht="15" hidden="false" customHeight="false" outlineLevel="0" collapsed="false">
      <c r="A32" s="2" t="s">
        <v>672</v>
      </c>
      <c r="B32" s="2" t="s">
        <v>673</v>
      </c>
      <c r="C32" s="12" t="n">
        <f aca="false">SUMIFS(Cleaned_Data!$K$2:$K$498,Cleaned_Data!$A$2:$A$498,$A32,Cleaned_Data!$J$2:$J$498,"INR",Cleaned_Data!$Q$2:$Q$498,C$18)</f>
        <v>1262984.54</v>
      </c>
      <c r="D32" s="12" t="n">
        <f aca="false">SUMIFS(Cleaned_Data!$K$2:$K$498,Cleaned_Data!$A$2:$A$498,$A32,Cleaned_Data!$J$2:$J$498,"INR",Cleaned_Data!$Q$2:$Q$498,D$18)</f>
        <v>38037.52</v>
      </c>
      <c r="E32" s="12" t="n">
        <f aca="false">SUMIFS(Cleaned_Data!$K$2:$K$498,Cleaned_Data!$A$2:$A$498,$A32,Cleaned_Data!$J$2:$J$498,"INR",Cleaned_Data!$Q$2:$Q$498,E$18)</f>
        <v>186355.02</v>
      </c>
      <c r="F32" s="12" t="n">
        <f aca="false">SUMIFS(Cleaned_Data!$K$2:$K$498,Cleaned_Data!$A$2:$A$498,$A32,Cleaned_Data!$J$2:$J$498,"INR",Cleaned_Data!$Q$2:$Q$498,F$18)</f>
        <v>0</v>
      </c>
      <c r="G32" s="12" t="n">
        <f aca="false">SUMIFS(Cleaned_Data!$K$2:$K$498,Cleaned_Data!$A$2:$A$498,$A32,Cleaned_Data!$J$2:$J$498,"INR",Cleaned_Data!$Q$2:$Q$498,G$18)</f>
        <v>-45654.36</v>
      </c>
      <c r="H32" s="12" t="n">
        <f aca="false">SUMIFS(Cleaned_Data!$K$2:$K$498,Cleaned_Data!$A$2:$A$498,$A32,Cleaned_Data!$J$2:$J$498,"INR",Cleaned_Data!$Q$2:$Q$498,H$18)</f>
        <v>278065.95</v>
      </c>
      <c r="I32" s="12" t="n">
        <f aca="false">SUM(C32:H32)</f>
        <v>1719788.67</v>
      </c>
    </row>
    <row r="33" customFormat="false" ht="15" hidden="false" customHeight="false" outlineLevel="0" collapsed="false">
      <c r="A33" s="2" t="s">
        <v>713</v>
      </c>
      <c r="B33" s="2" t="s">
        <v>714</v>
      </c>
      <c r="C33" s="12" t="n">
        <f aca="false">SUMIFS(Cleaned_Data!$K$2:$K$498,Cleaned_Data!$A$2:$A$498,$A33,Cleaned_Data!$J$2:$J$498,"INR",Cleaned_Data!$Q$2:$Q$498,C$18)</f>
        <v>370756</v>
      </c>
      <c r="D33" s="12" t="n">
        <f aca="false">SUMIFS(Cleaned_Data!$K$2:$K$498,Cleaned_Data!$A$2:$A$498,$A33,Cleaned_Data!$J$2:$J$498,"INR",Cleaned_Data!$Q$2:$Q$498,D$18)</f>
        <v>-161706</v>
      </c>
      <c r="E33" s="12" t="n">
        <f aca="false">SUMIFS(Cleaned_Data!$K$2:$K$498,Cleaned_Data!$A$2:$A$498,$A33,Cleaned_Data!$J$2:$J$498,"INR",Cleaned_Data!$Q$2:$Q$498,E$18)</f>
        <v>0</v>
      </c>
      <c r="F33" s="12" t="n">
        <f aca="false">SUMIFS(Cleaned_Data!$K$2:$K$498,Cleaned_Data!$A$2:$A$498,$A33,Cleaned_Data!$J$2:$J$498,"INR",Cleaned_Data!$Q$2:$Q$498,F$18)</f>
        <v>107184</v>
      </c>
      <c r="G33" s="12" t="n">
        <f aca="false">SUMIFS(Cleaned_Data!$K$2:$K$498,Cleaned_Data!$A$2:$A$498,$A33,Cleaned_Data!$J$2:$J$498,"INR",Cleaned_Data!$Q$2:$Q$498,G$18)</f>
        <v>378308</v>
      </c>
      <c r="H33" s="12" t="n">
        <f aca="false">SUMIFS(Cleaned_Data!$K$2:$K$498,Cleaned_Data!$A$2:$A$498,$A33,Cleaned_Data!$J$2:$J$498,"INR",Cleaned_Data!$Q$2:$Q$498,H$18)</f>
        <v>167442</v>
      </c>
      <c r="I33" s="12" t="n">
        <f aca="false">SUM(C33:H33)</f>
        <v>861984</v>
      </c>
    </row>
    <row r="34" customFormat="false" ht="15" hidden="false" customHeight="false" outlineLevel="0" collapsed="false">
      <c r="A34" s="2" t="s">
        <v>757</v>
      </c>
      <c r="B34" s="2" t="s">
        <v>758</v>
      </c>
      <c r="C34" s="12" t="n">
        <f aca="false">SUMIFS(Cleaned_Data!$K$2:$K$498,Cleaned_Data!$A$2:$A$498,$A34,Cleaned_Data!$J$2:$J$498,"INR",Cleaned_Data!$Q$2:$Q$498,C$18)</f>
        <v>24898</v>
      </c>
      <c r="D34" s="12" t="n">
        <f aca="false">SUMIFS(Cleaned_Data!$K$2:$K$498,Cleaned_Data!$A$2:$A$498,$A34,Cleaned_Data!$J$2:$J$498,"INR",Cleaned_Data!$Q$2:$Q$498,D$18)</f>
        <v>0</v>
      </c>
      <c r="E34" s="12" t="n">
        <f aca="false">SUMIFS(Cleaned_Data!$K$2:$K$498,Cleaned_Data!$A$2:$A$498,$A34,Cleaned_Data!$J$2:$J$498,"INR",Cleaned_Data!$Q$2:$Q$498,E$18)</f>
        <v>0</v>
      </c>
      <c r="F34" s="12" t="n">
        <f aca="false">SUMIFS(Cleaned_Data!$K$2:$K$498,Cleaned_Data!$A$2:$A$498,$A34,Cleaned_Data!$J$2:$J$498,"INR",Cleaned_Data!$Q$2:$Q$498,F$18)</f>
        <v>0</v>
      </c>
      <c r="G34" s="12" t="n">
        <f aca="false">SUMIFS(Cleaned_Data!$K$2:$K$498,Cleaned_Data!$A$2:$A$498,$A34,Cleaned_Data!$J$2:$J$498,"INR",Cleaned_Data!$Q$2:$Q$498,G$18)</f>
        <v>40120</v>
      </c>
      <c r="H34" s="12" t="n">
        <f aca="false">SUMIFS(Cleaned_Data!$K$2:$K$498,Cleaned_Data!$A$2:$A$498,$A34,Cleaned_Data!$J$2:$J$498,"INR",Cleaned_Data!$Q$2:$Q$498,H$18)</f>
        <v>0</v>
      </c>
      <c r="I34" s="12" t="n">
        <f aca="false">SUM(C34:H34)</f>
        <v>65018</v>
      </c>
    </row>
    <row r="35" customFormat="false" ht="15" hidden="false" customHeight="false" outlineLevel="0" collapsed="false">
      <c r="A35" s="2" t="s">
        <v>769</v>
      </c>
      <c r="B35" s="2" t="s">
        <v>2242</v>
      </c>
      <c r="C35" s="12" t="n">
        <f aca="false">SUMIFS(Cleaned_Data!$K$2:$K$498,Cleaned_Data!$A$2:$A$498,$A35,Cleaned_Data!$J$2:$J$498,"INR",Cleaned_Data!$Q$2:$Q$498,C$18)</f>
        <v>293734.15</v>
      </c>
      <c r="D35" s="12" t="n">
        <f aca="false">SUMIFS(Cleaned_Data!$K$2:$K$498,Cleaned_Data!$A$2:$A$498,$A35,Cleaned_Data!$J$2:$J$498,"INR",Cleaned_Data!$Q$2:$Q$498,D$18)</f>
        <v>0</v>
      </c>
      <c r="E35" s="12" t="n">
        <f aca="false">SUMIFS(Cleaned_Data!$K$2:$K$498,Cleaned_Data!$A$2:$A$498,$A35,Cleaned_Data!$J$2:$J$498,"INR",Cleaned_Data!$Q$2:$Q$498,E$18)</f>
        <v>0</v>
      </c>
      <c r="F35" s="12" t="n">
        <f aca="false">SUMIFS(Cleaned_Data!$K$2:$K$498,Cleaned_Data!$A$2:$A$498,$A35,Cleaned_Data!$J$2:$J$498,"INR",Cleaned_Data!$Q$2:$Q$498,F$18)</f>
        <v>0</v>
      </c>
      <c r="G35" s="12" t="n">
        <f aca="false">SUMIFS(Cleaned_Data!$K$2:$K$498,Cleaned_Data!$A$2:$A$498,$A35,Cleaned_Data!$J$2:$J$498,"INR",Cleaned_Data!$Q$2:$Q$498,G$18)</f>
        <v>0</v>
      </c>
      <c r="H35" s="12" t="n">
        <f aca="false">SUMIFS(Cleaned_Data!$K$2:$K$498,Cleaned_Data!$A$2:$A$498,$A35,Cleaned_Data!$J$2:$J$498,"INR",Cleaned_Data!$Q$2:$Q$498,H$18)</f>
        <v>551050.91</v>
      </c>
      <c r="I35" s="12" t="n">
        <f aca="false">SUM(C35:H35)</f>
        <v>844785.06</v>
      </c>
    </row>
    <row r="36" customFormat="false" ht="15" hidden="false" customHeight="false" outlineLevel="0" collapsed="false">
      <c r="A36" s="2" t="s">
        <v>2243</v>
      </c>
      <c r="B36" s="2" t="s">
        <v>787</v>
      </c>
      <c r="C36" s="12" t="n">
        <f aca="false">SUMIFS(Cleaned_Data!$K$2:$K$498,Cleaned_Data!$A$2:$A$498,$A36,Cleaned_Data!$J$2:$J$498,"INR",Cleaned_Data!$Q$2:$Q$498,C$18)</f>
        <v>1120347.76</v>
      </c>
      <c r="D36" s="12" t="n">
        <f aca="false">SUMIFS(Cleaned_Data!$K$2:$K$498,Cleaned_Data!$A$2:$A$498,$A36,Cleaned_Data!$J$2:$J$498,"INR",Cleaned_Data!$Q$2:$Q$498,D$18)</f>
        <v>65917.68</v>
      </c>
      <c r="E36" s="12" t="n">
        <f aca="false">SUMIFS(Cleaned_Data!$K$2:$K$498,Cleaned_Data!$A$2:$A$498,$A36,Cleaned_Data!$J$2:$J$498,"INR",Cleaned_Data!$Q$2:$Q$498,E$18)</f>
        <v>0</v>
      </c>
      <c r="F36" s="12" t="n">
        <f aca="false">SUMIFS(Cleaned_Data!$K$2:$K$498,Cleaned_Data!$A$2:$A$498,$A36,Cleaned_Data!$J$2:$J$498,"INR",Cleaned_Data!$Q$2:$Q$498,F$18)</f>
        <v>787998</v>
      </c>
      <c r="G36" s="12" t="n">
        <f aca="false">SUMIFS(Cleaned_Data!$K$2:$K$498,Cleaned_Data!$A$2:$A$498,$A36,Cleaned_Data!$J$2:$J$498,"INR",Cleaned_Data!$Q$2:$Q$498,G$18)</f>
        <v>262014.21</v>
      </c>
      <c r="H36" s="12" t="n">
        <f aca="false">SUMIFS(Cleaned_Data!$K$2:$K$498,Cleaned_Data!$A$2:$A$498,$A36,Cleaned_Data!$J$2:$J$498,"INR",Cleaned_Data!$Q$2:$Q$498,H$18)</f>
        <v>401500.9</v>
      </c>
      <c r="I36" s="12" t="n">
        <f aca="false">SUM(C36:H36)</f>
        <v>2637778.55</v>
      </c>
    </row>
    <row r="37" customFormat="false" ht="15" hidden="false" customHeight="false" outlineLevel="0" collapsed="false">
      <c r="A37" s="2" t="s">
        <v>881</v>
      </c>
      <c r="B37" s="2" t="s">
        <v>882</v>
      </c>
      <c r="C37" s="12" t="n">
        <f aca="false">SUMIFS(Cleaned_Data!$K$2:$K$498,Cleaned_Data!$A$2:$A$498,$A37,Cleaned_Data!$J$2:$J$498,"INR",Cleaned_Data!$Q$2:$Q$498,C$18)</f>
        <v>0</v>
      </c>
      <c r="D37" s="12" t="n">
        <f aca="false">SUMIFS(Cleaned_Data!$K$2:$K$498,Cleaned_Data!$A$2:$A$498,$A37,Cleaned_Data!$J$2:$J$498,"INR",Cleaned_Data!$Q$2:$Q$498,D$18)</f>
        <v>29028</v>
      </c>
      <c r="E37" s="12" t="n">
        <f aca="false">SUMIFS(Cleaned_Data!$K$2:$K$498,Cleaned_Data!$A$2:$A$498,$A37,Cleaned_Data!$J$2:$J$498,"INR",Cleaned_Data!$Q$2:$Q$498,E$18)</f>
        <v>0</v>
      </c>
      <c r="F37" s="12" t="n">
        <f aca="false">SUMIFS(Cleaned_Data!$K$2:$K$498,Cleaned_Data!$A$2:$A$498,$A37,Cleaned_Data!$J$2:$J$498,"INR",Cleaned_Data!$Q$2:$Q$498,F$18)</f>
        <v>0</v>
      </c>
      <c r="G37" s="12" t="n">
        <f aca="false">SUMIFS(Cleaned_Data!$K$2:$K$498,Cleaned_Data!$A$2:$A$498,$A37,Cleaned_Data!$J$2:$J$498,"INR",Cleaned_Data!$Q$2:$Q$498,G$18)</f>
        <v>0</v>
      </c>
      <c r="H37" s="12" t="n">
        <f aca="false">SUMIFS(Cleaned_Data!$K$2:$K$498,Cleaned_Data!$A$2:$A$498,$A37,Cleaned_Data!$J$2:$J$498,"INR",Cleaned_Data!$Q$2:$Q$498,H$18)</f>
        <v>0</v>
      </c>
      <c r="I37" s="12" t="n">
        <f aca="false">SUM(C37:H37)</f>
        <v>29028</v>
      </c>
    </row>
    <row r="38" customFormat="false" ht="15" hidden="false" customHeight="false" outlineLevel="0" collapsed="false">
      <c r="A38" s="2" t="s">
        <v>887</v>
      </c>
      <c r="B38" s="2" t="s">
        <v>2248</v>
      </c>
      <c r="C38" s="12" t="n">
        <f aca="false">SUMIFS(Cleaned_Data!$K$2:$K$498,Cleaned_Data!$A$2:$A$498,$A38,Cleaned_Data!$J$2:$J$498,"INR",Cleaned_Data!$Q$2:$Q$498,C$18)</f>
        <v>85814.44</v>
      </c>
      <c r="D38" s="12" t="n">
        <f aca="false">SUMIFS(Cleaned_Data!$K$2:$K$498,Cleaned_Data!$A$2:$A$498,$A38,Cleaned_Data!$J$2:$J$498,"INR",Cleaned_Data!$Q$2:$Q$498,D$18)</f>
        <v>860154</v>
      </c>
      <c r="E38" s="12" t="n">
        <f aca="false">SUMIFS(Cleaned_Data!$K$2:$K$498,Cleaned_Data!$A$2:$A$498,$A38,Cleaned_Data!$J$2:$J$498,"INR",Cleaned_Data!$Q$2:$Q$498,E$18)</f>
        <v>-18789.35</v>
      </c>
      <c r="F38" s="12" t="n">
        <f aca="false">SUMIFS(Cleaned_Data!$K$2:$K$498,Cleaned_Data!$A$2:$A$498,$A38,Cleaned_Data!$J$2:$J$498,"INR",Cleaned_Data!$Q$2:$Q$498,F$18)</f>
        <v>0</v>
      </c>
      <c r="G38" s="12" t="n">
        <f aca="false">SUMIFS(Cleaned_Data!$K$2:$K$498,Cleaned_Data!$A$2:$A$498,$A38,Cleaned_Data!$J$2:$J$498,"INR",Cleaned_Data!$Q$2:$Q$498,G$18)</f>
        <v>0</v>
      </c>
      <c r="H38" s="12" t="n">
        <f aca="false">SUMIFS(Cleaned_Data!$K$2:$K$498,Cleaned_Data!$A$2:$A$498,$A38,Cleaned_Data!$J$2:$J$498,"INR",Cleaned_Data!$Q$2:$Q$498,H$18)</f>
        <v>0</v>
      </c>
      <c r="I38" s="12" t="n">
        <f aca="false">SUM(C38:H38)</f>
        <v>927179.09</v>
      </c>
    </row>
    <row r="39" customFormat="false" ht="15" hidden="false" customHeight="false" outlineLevel="0" collapsed="false">
      <c r="A39" s="2" t="s">
        <v>928</v>
      </c>
      <c r="B39" s="2" t="s">
        <v>929</v>
      </c>
      <c r="C39" s="12" t="n">
        <f aca="false">SUMIFS(Cleaned_Data!$K$2:$K$498,Cleaned_Data!$A$2:$A$498,$A39,Cleaned_Data!$J$2:$J$498,"INR",Cleaned_Data!$Q$2:$Q$498,C$18)</f>
        <v>404371.06</v>
      </c>
      <c r="D39" s="12" t="n">
        <f aca="false">SUMIFS(Cleaned_Data!$K$2:$K$498,Cleaned_Data!$A$2:$A$498,$A39,Cleaned_Data!$J$2:$J$498,"INR",Cleaned_Data!$Q$2:$Q$498,D$18)</f>
        <v>366962.98</v>
      </c>
      <c r="E39" s="12" t="n">
        <f aca="false">SUMIFS(Cleaned_Data!$K$2:$K$498,Cleaned_Data!$A$2:$A$498,$A39,Cleaned_Data!$J$2:$J$498,"INR",Cleaned_Data!$Q$2:$Q$498,E$18)</f>
        <v>0</v>
      </c>
      <c r="F39" s="12" t="n">
        <f aca="false">SUMIFS(Cleaned_Data!$K$2:$K$498,Cleaned_Data!$A$2:$A$498,$A39,Cleaned_Data!$J$2:$J$498,"INR",Cleaned_Data!$Q$2:$Q$498,F$18)</f>
        <v>551988</v>
      </c>
      <c r="G39" s="12" t="n">
        <f aca="false">SUMIFS(Cleaned_Data!$K$2:$K$498,Cleaned_Data!$A$2:$A$498,$A39,Cleaned_Data!$J$2:$J$498,"INR",Cleaned_Data!$Q$2:$Q$498,G$18)</f>
        <v>487989.1</v>
      </c>
      <c r="H39" s="12" t="n">
        <f aca="false">SUMIFS(Cleaned_Data!$K$2:$K$498,Cleaned_Data!$A$2:$A$498,$A39,Cleaned_Data!$J$2:$J$498,"INR",Cleaned_Data!$Q$2:$Q$498,H$18)</f>
        <v>134532.25</v>
      </c>
      <c r="I39" s="12" t="n">
        <f aca="false">SUM(C39:H39)</f>
        <v>1945843.39</v>
      </c>
    </row>
    <row r="40" customFormat="false" ht="15" hidden="false" customHeight="false" outlineLevel="0" collapsed="false">
      <c r="A40" s="2" t="s">
        <v>976</v>
      </c>
      <c r="B40" s="2" t="s">
        <v>977</v>
      </c>
      <c r="C40" s="12" t="n">
        <f aca="false">SUMIFS(Cleaned_Data!$K$2:$K$498,Cleaned_Data!$A$2:$A$498,$A40,Cleaned_Data!$J$2:$J$498,"INR",Cleaned_Data!$Q$2:$Q$498,C$18)</f>
        <v>0</v>
      </c>
      <c r="D40" s="12" t="n">
        <f aca="false">SUMIFS(Cleaned_Data!$K$2:$K$498,Cleaned_Data!$A$2:$A$498,$A40,Cleaned_Data!$J$2:$J$498,"INR",Cleaned_Data!$Q$2:$Q$498,D$18)</f>
        <v>0</v>
      </c>
      <c r="E40" s="12" t="n">
        <f aca="false">SUMIFS(Cleaned_Data!$K$2:$K$498,Cleaned_Data!$A$2:$A$498,$A40,Cleaned_Data!$J$2:$J$498,"INR",Cleaned_Data!$Q$2:$Q$498,E$18)</f>
        <v>-92369.7</v>
      </c>
      <c r="F40" s="12" t="n">
        <f aca="false">SUMIFS(Cleaned_Data!$K$2:$K$498,Cleaned_Data!$A$2:$A$498,$A40,Cleaned_Data!$J$2:$J$498,"INR",Cleaned_Data!$Q$2:$Q$498,F$18)</f>
        <v>0</v>
      </c>
      <c r="G40" s="12" t="n">
        <f aca="false">SUMIFS(Cleaned_Data!$K$2:$K$498,Cleaned_Data!$A$2:$A$498,$A40,Cleaned_Data!$J$2:$J$498,"INR",Cleaned_Data!$Q$2:$Q$498,G$18)</f>
        <v>0</v>
      </c>
      <c r="H40" s="12" t="n">
        <f aca="false">SUMIFS(Cleaned_Data!$K$2:$K$498,Cleaned_Data!$A$2:$A$498,$A40,Cleaned_Data!$J$2:$J$498,"INR",Cleaned_Data!$Q$2:$Q$498,H$18)</f>
        <v>14595</v>
      </c>
      <c r="I40" s="12" t="n">
        <f aca="false">SUM(C40:H40)</f>
        <v>-77774.7</v>
      </c>
    </row>
    <row r="41" customFormat="false" ht="15" hidden="false" customHeight="false" outlineLevel="0" collapsed="false">
      <c r="A41" s="2" t="s">
        <v>991</v>
      </c>
      <c r="B41" s="2" t="s">
        <v>2253</v>
      </c>
      <c r="C41" s="12" t="n">
        <f aca="false">SUMIFS(Cleaned_Data!$K$2:$K$498,Cleaned_Data!$A$2:$A$498,$A41,Cleaned_Data!$J$2:$J$498,"INR",Cleaned_Data!$Q$2:$Q$498,C$18)</f>
        <v>0</v>
      </c>
      <c r="D41" s="12" t="n">
        <f aca="false">SUMIFS(Cleaned_Data!$K$2:$K$498,Cleaned_Data!$A$2:$A$498,$A41,Cleaned_Data!$J$2:$J$498,"INR",Cleaned_Data!$Q$2:$Q$498,D$18)</f>
        <v>102660</v>
      </c>
      <c r="E41" s="12" t="n">
        <f aca="false">SUMIFS(Cleaned_Data!$K$2:$K$498,Cleaned_Data!$A$2:$A$498,$A41,Cleaned_Data!$J$2:$J$498,"INR",Cleaned_Data!$Q$2:$Q$498,E$18)</f>
        <v>0</v>
      </c>
      <c r="F41" s="12" t="n">
        <f aca="false">SUMIFS(Cleaned_Data!$K$2:$K$498,Cleaned_Data!$A$2:$A$498,$A41,Cleaned_Data!$J$2:$J$498,"INR",Cleaned_Data!$Q$2:$Q$498,F$18)</f>
        <v>0</v>
      </c>
      <c r="G41" s="12" t="n">
        <f aca="false">SUMIFS(Cleaned_Data!$K$2:$K$498,Cleaned_Data!$A$2:$A$498,$A41,Cleaned_Data!$J$2:$J$498,"INR",Cleaned_Data!$Q$2:$Q$498,G$18)</f>
        <v>408739.21</v>
      </c>
      <c r="H41" s="12" t="n">
        <f aca="false">SUMIFS(Cleaned_Data!$K$2:$K$498,Cleaned_Data!$A$2:$A$498,$A41,Cleaned_Data!$J$2:$J$498,"INR",Cleaned_Data!$Q$2:$Q$498,H$18)</f>
        <v>71493.95</v>
      </c>
      <c r="I41" s="12" t="n">
        <f aca="false">SUM(C41:H41)</f>
        <v>582893.16</v>
      </c>
    </row>
    <row r="42" customFormat="false" ht="15" hidden="false" customHeight="false" outlineLevel="0" collapsed="false">
      <c r="A42" s="2" t="s">
        <v>2258</v>
      </c>
      <c r="B42" s="2" t="s">
        <v>1021</v>
      </c>
      <c r="C42" s="12" t="n">
        <f aca="false">SUMIFS(Cleaned_Data!$K$2:$K$498,Cleaned_Data!$A$2:$A$498,$A42,Cleaned_Data!$J$2:$J$498,"INR",Cleaned_Data!$Q$2:$Q$498,C$18)</f>
        <v>136115.45</v>
      </c>
      <c r="D42" s="12" t="n">
        <f aca="false">SUMIFS(Cleaned_Data!$K$2:$K$498,Cleaned_Data!$A$2:$A$498,$A42,Cleaned_Data!$J$2:$J$498,"INR",Cleaned_Data!$Q$2:$Q$498,D$18)</f>
        <v>80019.87</v>
      </c>
      <c r="E42" s="12" t="n">
        <f aca="false">SUMIFS(Cleaned_Data!$K$2:$K$498,Cleaned_Data!$A$2:$A$498,$A42,Cleaned_Data!$J$2:$J$498,"INR",Cleaned_Data!$Q$2:$Q$498,E$18)</f>
        <v>0</v>
      </c>
      <c r="F42" s="12" t="n">
        <f aca="false">SUMIFS(Cleaned_Data!$K$2:$K$498,Cleaned_Data!$A$2:$A$498,$A42,Cleaned_Data!$J$2:$J$498,"INR",Cleaned_Data!$Q$2:$Q$498,F$18)</f>
        <v>0</v>
      </c>
      <c r="G42" s="12" t="n">
        <f aca="false">SUMIFS(Cleaned_Data!$K$2:$K$498,Cleaned_Data!$A$2:$A$498,$A42,Cleaned_Data!$J$2:$J$498,"INR",Cleaned_Data!$Q$2:$Q$498,G$18)</f>
        <v>10752</v>
      </c>
      <c r="H42" s="12" t="n">
        <f aca="false">SUMIFS(Cleaned_Data!$K$2:$K$498,Cleaned_Data!$A$2:$A$498,$A42,Cleaned_Data!$J$2:$J$498,"INR",Cleaned_Data!$Q$2:$Q$498,H$18)</f>
        <v>0</v>
      </c>
      <c r="I42" s="12" t="n">
        <f aca="false">SUM(C42:H42)</f>
        <v>226887.32</v>
      </c>
    </row>
    <row r="43" customFormat="false" ht="15" hidden="false" customHeight="false" outlineLevel="0" collapsed="false">
      <c r="A43" s="2" t="s">
        <v>1045</v>
      </c>
      <c r="B43" s="2" t="s">
        <v>1046</v>
      </c>
      <c r="C43" s="12" t="n">
        <f aca="false">SUMIFS(Cleaned_Data!$K$2:$K$498,Cleaned_Data!$A$2:$A$498,$A43,Cleaned_Data!$J$2:$J$498,"INR",Cleaned_Data!$Q$2:$Q$498,C$18)</f>
        <v>41035.49</v>
      </c>
      <c r="D43" s="12" t="n">
        <f aca="false">SUMIFS(Cleaned_Data!$K$2:$K$498,Cleaned_Data!$A$2:$A$498,$A43,Cleaned_Data!$J$2:$J$498,"INR",Cleaned_Data!$Q$2:$Q$498,D$18)</f>
        <v>242792</v>
      </c>
      <c r="E43" s="12" t="n">
        <f aca="false">SUMIFS(Cleaned_Data!$K$2:$K$498,Cleaned_Data!$A$2:$A$498,$A43,Cleaned_Data!$J$2:$J$498,"INR",Cleaned_Data!$Q$2:$Q$498,E$18)</f>
        <v>0</v>
      </c>
      <c r="F43" s="12" t="n">
        <f aca="false">SUMIFS(Cleaned_Data!$K$2:$K$498,Cleaned_Data!$A$2:$A$498,$A43,Cleaned_Data!$J$2:$J$498,"INR",Cleaned_Data!$Q$2:$Q$498,F$18)</f>
        <v>21487.86</v>
      </c>
      <c r="G43" s="12" t="n">
        <f aca="false">SUMIFS(Cleaned_Data!$K$2:$K$498,Cleaned_Data!$A$2:$A$498,$A43,Cleaned_Data!$J$2:$J$498,"INR",Cleaned_Data!$Q$2:$Q$498,G$18)</f>
        <v>103520.37</v>
      </c>
      <c r="H43" s="12" t="n">
        <f aca="false">SUMIFS(Cleaned_Data!$K$2:$K$498,Cleaned_Data!$A$2:$A$498,$A43,Cleaned_Data!$J$2:$J$498,"INR",Cleaned_Data!$Q$2:$Q$498,H$18)</f>
        <v>0</v>
      </c>
      <c r="I43" s="12" t="n">
        <f aca="false">SUM(C43:H43)</f>
        <v>408835.72</v>
      </c>
    </row>
    <row r="44" customFormat="false" ht="15" hidden="false" customHeight="false" outlineLevel="0" collapsed="false">
      <c r="A44" s="2" t="s">
        <v>2263</v>
      </c>
      <c r="B44" s="2" t="s">
        <v>2264</v>
      </c>
      <c r="C44" s="12" t="n">
        <f aca="false">SUMIFS(Cleaned_Data!$K$2:$K$498,Cleaned_Data!$A$2:$A$498,$A44,Cleaned_Data!$J$2:$J$498,"INR",Cleaned_Data!$Q$2:$Q$498,C$18)</f>
        <v>110309.01</v>
      </c>
      <c r="D44" s="12" t="n">
        <f aca="false">SUMIFS(Cleaned_Data!$K$2:$K$498,Cleaned_Data!$A$2:$A$498,$A44,Cleaned_Data!$J$2:$J$498,"INR",Cleaned_Data!$Q$2:$Q$498,D$18)</f>
        <v>57679.91</v>
      </c>
      <c r="E44" s="12" t="n">
        <f aca="false">SUMIFS(Cleaned_Data!$K$2:$K$498,Cleaned_Data!$A$2:$A$498,$A44,Cleaned_Data!$J$2:$J$498,"INR",Cleaned_Data!$Q$2:$Q$498,E$18)</f>
        <v>168037.81</v>
      </c>
      <c r="F44" s="12" t="n">
        <f aca="false">SUMIFS(Cleaned_Data!$K$2:$K$498,Cleaned_Data!$A$2:$A$498,$A44,Cleaned_Data!$J$2:$J$498,"INR",Cleaned_Data!$Q$2:$Q$498,F$18)</f>
        <v>24658.7</v>
      </c>
      <c r="G44" s="12" t="n">
        <f aca="false">SUMIFS(Cleaned_Data!$K$2:$K$498,Cleaned_Data!$A$2:$A$498,$A44,Cleaned_Data!$J$2:$J$498,"INR",Cleaned_Data!$Q$2:$Q$498,G$18)</f>
        <v>232004.4</v>
      </c>
      <c r="H44" s="12" t="n">
        <f aca="false">SUMIFS(Cleaned_Data!$K$2:$K$498,Cleaned_Data!$A$2:$A$498,$A44,Cleaned_Data!$J$2:$J$498,"INR",Cleaned_Data!$Q$2:$Q$498,H$18)</f>
        <v>76924</v>
      </c>
      <c r="I44" s="12" t="n">
        <f aca="false">SUM(C44:H44)</f>
        <v>669613.83</v>
      </c>
    </row>
    <row r="45" customFormat="false" ht="15" hidden="false" customHeight="false" outlineLevel="0" collapsed="false">
      <c r="A45" s="2" t="s">
        <v>1132</v>
      </c>
      <c r="B45" s="2" t="s">
        <v>1133</v>
      </c>
      <c r="C45" s="12" t="n">
        <f aca="false">SUMIFS(Cleaned_Data!$K$2:$K$498,Cleaned_Data!$A$2:$A$498,$A45,Cleaned_Data!$J$2:$J$498,"INR",Cleaned_Data!$Q$2:$Q$498,C$18)</f>
        <v>14592.61</v>
      </c>
      <c r="D45" s="12" t="n">
        <f aca="false">SUMIFS(Cleaned_Data!$K$2:$K$498,Cleaned_Data!$A$2:$A$498,$A45,Cleaned_Data!$J$2:$J$498,"INR",Cleaned_Data!$Q$2:$Q$498,D$18)</f>
        <v>476838</v>
      </c>
      <c r="E45" s="12" t="n">
        <f aca="false">SUMIFS(Cleaned_Data!$K$2:$K$498,Cleaned_Data!$A$2:$A$498,$A45,Cleaned_Data!$J$2:$J$498,"INR",Cleaned_Data!$Q$2:$Q$498,E$18)</f>
        <v>0</v>
      </c>
      <c r="F45" s="12" t="n">
        <f aca="false">SUMIFS(Cleaned_Data!$K$2:$K$498,Cleaned_Data!$A$2:$A$498,$A45,Cleaned_Data!$J$2:$J$498,"INR",Cleaned_Data!$Q$2:$Q$498,F$18)</f>
        <v>0</v>
      </c>
      <c r="G45" s="12" t="n">
        <f aca="false">SUMIFS(Cleaned_Data!$K$2:$K$498,Cleaned_Data!$A$2:$A$498,$A45,Cleaned_Data!$J$2:$J$498,"INR",Cleaned_Data!$Q$2:$Q$498,G$18)</f>
        <v>0</v>
      </c>
      <c r="H45" s="12" t="n">
        <f aca="false">SUMIFS(Cleaned_Data!$K$2:$K$498,Cleaned_Data!$A$2:$A$498,$A45,Cleaned_Data!$J$2:$J$498,"INR",Cleaned_Data!$Q$2:$Q$498,H$18)</f>
        <v>0</v>
      </c>
      <c r="I45" s="12" t="n">
        <f aca="false">SUM(C45:H45)</f>
        <v>491430.61</v>
      </c>
    </row>
    <row r="46" customFormat="false" ht="15" hidden="false" customHeight="false" outlineLevel="0" collapsed="false">
      <c r="A46" s="2" t="s">
        <v>2267</v>
      </c>
      <c r="B46" s="2" t="s">
        <v>1148</v>
      </c>
      <c r="C46" s="12" t="n">
        <f aca="false">SUMIFS(Cleaned_Data!$K$2:$K$498,Cleaned_Data!$A$2:$A$498,$A46,Cleaned_Data!$J$2:$J$498,"INR",Cleaned_Data!$Q$2:$Q$498,C$18)</f>
        <v>203668</v>
      </c>
      <c r="D46" s="12" t="n">
        <f aca="false">SUMIFS(Cleaned_Data!$K$2:$K$498,Cleaned_Data!$A$2:$A$498,$A46,Cleaned_Data!$J$2:$J$498,"INR",Cleaned_Data!$Q$2:$Q$498,D$18)</f>
        <v>-5500</v>
      </c>
      <c r="E46" s="12" t="n">
        <f aca="false">SUMIFS(Cleaned_Data!$K$2:$K$498,Cleaned_Data!$A$2:$A$498,$A46,Cleaned_Data!$J$2:$J$498,"INR",Cleaned_Data!$Q$2:$Q$498,E$18)</f>
        <v>36570.39</v>
      </c>
      <c r="F46" s="12" t="n">
        <f aca="false">SUMIFS(Cleaned_Data!$K$2:$K$498,Cleaned_Data!$A$2:$A$498,$A46,Cleaned_Data!$J$2:$J$498,"INR",Cleaned_Data!$Q$2:$Q$498,F$18)</f>
        <v>25984</v>
      </c>
      <c r="G46" s="12" t="n">
        <f aca="false">SUMIFS(Cleaned_Data!$K$2:$K$498,Cleaned_Data!$A$2:$A$498,$A46,Cleaned_Data!$J$2:$J$498,"INR",Cleaned_Data!$Q$2:$Q$498,G$18)</f>
        <v>0</v>
      </c>
      <c r="H46" s="12" t="n">
        <f aca="false">SUMIFS(Cleaned_Data!$K$2:$K$498,Cleaned_Data!$A$2:$A$498,$A46,Cleaned_Data!$J$2:$J$498,"INR",Cleaned_Data!$Q$2:$Q$498,H$18)</f>
        <v>0</v>
      </c>
      <c r="I46" s="12" t="n">
        <f aca="false">SUM(C46:H46)</f>
        <v>260722.39</v>
      </c>
    </row>
    <row r="47" customFormat="false" ht="15" hidden="false" customHeight="false" outlineLevel="0" collapsed="false">
      <c r="A47" s="2" t="s">
        <v>1166</v>
      </c>
      <c r="B47" s="2" t="s">
        <v>2269</v>
      </c>
      <c r="C47" s="12" t="n">
        <f aca="false">SUMIFS(Cleaned_Data!$K$2:$K$498,Cleaned_Data!$A$2:$A$498,$A47,Cleaned_Data!$J$2:$J$498,"INR",Cleaned_Data!$Q$2:$Q$498,C$18)</f>
        <v>0</v>
      </c>
      <c r="D47" s="12" t="n">
        <f aca="false">SUMIFS(Cleaned_Data!$K$2:$K$498,Cleaned_Data!$A$2:$A$498,$A47,Cleaned_Data!$J$2:$J$498,"INR",Cleaned_Data!$Q$2:$Q$498,D$18)</f>
        <v>652813.16</v>
      </c>
      <c r="E47" s="12" t="n">
        <f aca="false">SUMIFS(Cleaned_Data!$K$2:$K$498,Cleaned_Data!$A$2:$A$498,$A47,Cleaned_Data!$J$2:$J$498,"INR",Cleaned_Data!$Q$2:$Q$498,E$18)</f>
        <v>0</v>
      </c>
      <c r="F47" s="12" t="n">
        <f aca="false">SUMIFS(Cleaned_Data!$K$2:$K$498,Cleaned_Data!$A$2:$A$498,$A47,Cleaned_Data!$J$2:$J$498,"INR",Cleaned_Data!$Q$2:$Q$498,F$18)</f>
        <v>0</v>
      </c>
      <c r="G47" s="12" t="n">
        <f aca="false">SUMIFS(Cleaned_Data!$K$2:$K$498,Cleaned_Data!$A$2:$A$498,$A47,Cleaned_Data!$J$2:$J$498,"INR",Cleaned_Data!$Q$2:$Q$498,G$18)</f>
        <v>64782</v>
      </c>
      <c r="H47" s="12" t="n">
        <f aca="false">SUMIFS(Cleaned_Data!$K$2:$K$498,Cleaned_Data!$A$2:$A$498,$A47,Cleaned_Data!$J$2:$J$498,"INR",Cleaned_Data!$Q$2:$Q$498,H$18)</f>
        <v>110558.61</v>
      </c>
      <c r="I47" s="12" t="n">
        <f aca="false">SUM(C47:H47)</f>
        <v>828153.77</v>
      </c>
    </row>
    <row r="48" customFormat="false" ht="15" hidden="false" customHeight="false" outlineLevel="0" collapsed="false">
      <c r="A48" s="2" t="s">
        <v>1192</v>
      </c>
      <c r="B48" s="2" t="s">
        <v>1193</v>
      </c>
      <c r="C48" s="12" t="n">
        <f aca="false">SUMIFS(Cleaned_Data!$K$2:$K$498,Cleaned_Data!$A$2:$A$498,$A48,Cleaned_Data!$J$2:$J$498,"INR",Cleaned_Data!$Q$2:$Q$498,C$18)</f>
        <v>0</v>
      </c>
      <c r="D48" s="12" t="n">
        <f aca="false">SUMIFS(Cleaned_Data!$K$2:$K$498,Cleaned_Data!$A$2:$A$498,$A48,Cleaned_Data!$J$2:$J$498,"INR",Cleaned_Data!$Q$2:$Q$498,D$18)</f>
        <v>0</v>
      </c>
      <c r="E48" s="12" t="n">
        <f aca="false">SUMIFS(Cleaned_Data!$K$2:$K$498,Cleaned_Data!$A$2:$A$498,$A48,Cleaned_Data!$J$2:$J$498,"INR",Cleaned_Data!$Q$2:$Q$498,E$18)</f>
        <v>407926</v>
      </c>
      <c r="F48" s="12" t="n">
        <f aca="false">SUMIFS(Cleaned_Data!$K$2:$K$498,Cleaned_Data!$A$2:$A$498,$A48,Cleaned_Data!$J$2:$J$498,"INR",Cleaned_Data!$Q$2:$Q$498,F$18)</f>
        <v>0</v>
      </c>
      <c r="G48" s="12" t="n">
        <f aca="false">SUMIFS(Cleaned_Data!$K$2:$K$498,Cleaned_Data!$A$2:$A$498,$A48,Cleaned_Data!$J$2:$J$498,"INR",Cleaned_Data!$Q$2:$Q$498,G$18)</f>
        <v>44576.94</v>
      </c>
      <c r="H48" s="12" t="n">
        <f aca="false">SUMIFS(Cleaned_Data!$K$2:$K$498,Cleaned_Data!$A$2:$A$498,$A48,Cleaned_Data!$J$2:$J$498,"INR",Cleaned_Data!$Q$2:$Q$498,H$18)</f>
        <v>242844</v>
      </c>
      <c r="I48" s="12" t="n">
        <f aca="false">SUM(C48:H48)</f>
        <v>695346.94</v>
      </c>
    </row>
    <row r="49" customFormat="false" ht="15" hidden="false" customHeight="false" outlineLevel="0" collapsed="false">
      <c r="A49" s="2" t="s">
        <v>1211</v>
      </c>
      <c r="B49" s="2" t="s">
        <v>1212</v>
      </c>
      <c r="C49" s="12" t="n">
        <f aca="false">SUMIFS(Cleaned_Data!$K$2:$K$498,Cleaned_Data!$A$2:$A$498,$A49,Cleaned_Data!$J$2:$J$498,"INR",Cleaned_Data!$Q$2:$Q$498,C$18)</f>
        <v>794810.36</v>
      </c>
      <c r="D49" s="12" t="n">
        <f aca="false">SUMIFS(Cleaned_Data!$K$2:$K$498,Cleaned_Data!$A$2:$A$498,$A49,Cleaned_Data!$J$2:$J$498,"INR",Cleaned_Data!$Q$2:$Q$498,D$18)</f>
        <v>989535</v>
      </c>
      <c r="E49" s="12" t="n">
        <f aca="false">SUMIFS(Cleaned_Data!$K$2:$K$498,Cleaned_Data!$A$2:$A$498,$A49,Cleaned_Data!$J$2:$J$498,"INR",Cleaned_Data!$Q$2:$Q$498,E$18)</f>
        <v>829606.12</v>
      </c>
      <c r="F49" s="12" t="n">
        <f aca="false">SUMIFS(Cleaned_Data!$K$2:$K$498,Cleaned_Data!$A$2:$A$498,$A49,Cleaned_Data!$J$2:$J$498,"INR",Cleaned_Data!$Q$2:$Q$498,F$18)</f>
        <v>58528</v>
      </c>
      <c r="G49" s="12" t="n">
        <f aca="false">SUMIFS(Cleaned_Data!$K$2:$K$498,Cleaned_Data!$A$2:$A$498,$A49,Cleaned_Data!$J$2:$J$498,"INR",Cleaned_Data!$Q$2:$Q$498,G$18)</f>
        <v>240031.36</v>
      </c>
      <c r="H49" s="12" t="n">
        <f aca="false">SUMIFS(Cleaned_Data!$K$2:$K$498,Cleaned_Data!$A$2:$A$498,$A49,Cleaned_Data!$J$2:$J$498,"INR",Cleaned_Data!$Q$2:$Q$498,H$18)</f>
        <v>138245.88</v>
      </c>
      <c r="I49" s="12" t="n">
        <f aca="false">SUM(C49:H49)</f>
        <v>3050756.72</v>
      </c>
    </row>
    <row r="50" customFormat="false" ht="15" hidden="false" customHeight="false" outlineLevel="0" collapsed="false">
      <c r="A50" s="2" t="s">
        <v>2270</v>
      </c>
      <c r="B50" s="2" t="s">
        <v>2271</v>
      </c>
      <c r="C50" s="12" t="n">
        <f aca="false">SUMIFS(Cleaned_Data!$K$2:$K$498,Cleaned_Data!$A$2:$A$498,$A50,Cleaned_Data!$J$2:$J$498,"INR",Cleaned_Data!$Q$2:$Q$498,C$18)</f>
        <v>105846</v>
      </c>
      <c r="D50" s="12" t="n">
        <f aca="false">SUMIFS(Cleaned_Data!$K$2:$K$498,Cleaned_Data!$A$2:$A$498,$A50,Cleaned_Data!$J$2:$J$498,"INR",Cleaned_Data!$Q$2:$Q$498,D$18)</f>
        <v>600620</v>
      </c>
      <c r="E50" s="12" t="n">
        <f aca="false">SUMIFS(Cleaned_Data!$K$2:$K$498,Cleaned_Data!$A$2:$A$498,$A50,Cleaned_Data!$J$2:$J$498,"INR",Cleaned_Data!$Q$2:$Q$498,E$18)</f>
        <v>0</v>
      </c>
      <c r="F50" s="12" t="n">
        <f aca="false">SUMIFS(Cleaned_Data!$K$2:$K$498,Cleaned_Data!$A$2:$A$498,$A50,Cleaned_Data!$J$2:$J$498,"INR",Cleaned_Data!$Q$2:$Q$498,F$18)</f>
        <v>145140</v>
      </c>
      <c r="G50" s="12" t="n">
        <f aca="false">SUMIFS(Cleaned_Data!$K$2:$K$498,Cleaned_Data!$A$2:$A$498,$A50,Cleaned_Data!$J$2:$J$498,"INR",Cleaned_Data!$Q$2:$Q$498,G$18)</f>
        <v>559717.19</v>
      </c>
      <c r="H50" s="12" t="n">
        <f aca="false">SUMIFS(Cleaned_Data!$K$2:$K$498,Cleaned_Data!$A$2:$A$498,$A50,Cleaned_Data!$J$2:$J$498,"INR",Cleaned_Data!$Q$2:$Q$498,H$18)</f>
        <v>167439.18</v>
      </c>
      <c r="I50" s="12" t="n">
        <f aca="false">SUM(C50:H50)</f>
        <v>1578762.37</v>
      </c>
    </row>
    <row r="51" customFormat="false" ht="15" hidden="false" customHeight="false" outlineLevel="0" collapsed="false">
      <c r="A51" s="2" t="s">
        <v>1341</v>
      </c>
      <c r="B51" s="2" t="s">
        <v>1342</v>
      </c>
      <c r="C51" s="12" t="n">
        <f aca="false">SUMIFS(Cleaned_Data!$K$2:$K$498,Cleaned_Data!$A$2:$A$498,$A51,Cleaned_Data!$J$2:$J$498,"INR",Cleaned_Data!$Q$2:$Q$498,C$18)</f>
        <v>747732.72</v>
      </c>
      <c r="D51" s="12" t="n">
        <f aca="false">SUMIFS(Cleaned_Data!$K$2:$K$498,Cleaned_Data!$A$2:$A$498,$A51,Cleaned_Data!$J$2:$J$498,"INR",Cleaned_Data!$Q$2:$Q$498,D$18)</f>
        <v>133443.21</v>
      </c>
      <c r="E51" s="12" t="n">
        <f aca="false">SUMIFS(Cleaned_Data!$K$2:$K$498,Cleaned_Data!$A$2:$A$498,$A51,Cleaned_Data!$J$2:$J$498,"INR",Cleaned_Data!$Q$2:$Q$498,E$18)</f>
        <v>0</v>
      </c>
      <c r="F51" s="12" t="n">
        <f aca="false">SUMIFS(Cleaned_Data!$K$2:$K$498,Cleaned_Data!$A$2:$A$498,$A51,Cleaned_Data!$J$2:$J$498,"INR",Cleaned_Data!$Q$2:$Q$498,F$18)</f>
        <v>-23885</v>
      </c>
      <c r="G51" s="12" t="n">
        <f aca="false">SUMIFS(Cleaned_Data!$K$2:$K$498,Cleaned_Data!$A$2:$A$498,$A51,Cleaned_Data!$J$2:$J$498,"INR",Cleaned_Data!$Q$2:$Q$498,G$18)</f>
        <v>59118</v>
      </c>
      <c r="H51" s="12" t="n">
        <f aca="false">SUMIFS(Cleaned_Data!$K$2:$K$498,Cleaned_Data!$A$2:$A$498,$A51,Cleaned_Data!$J$2:$J$498,"INR",Cleaned_Data!$Q$2:$Q$498,H$18)</f>
        <v>0</v>
      </c>
      <c r="I51" s="12" t="n">
        <f aca="false">SUM(C51:H51)</f>
        <v>916408.93</v>
      </c>
    </row>
    <row r="52" customFormat="false" ht="15" hidden="false" customHeight="false" outlineLevel="0" collapsed="false">
      <c r="A52" s="2" t="s">
        <v>1371</v>
      </c>
      <c r="B52" s="2" t="s">
        <v>1372</v>
      </c>
      <c r="C52" s="12" t="n">
        <f aca="false">SUMIFS(Cleaned_Data!$K$2:$K$498,Cleaned_Data!$A$2:$A$498,$A52,Cleaned_Data!$J$2:$J$498,"INR",Cleaned_Data!$Q$2:$Q$498,C$18)</f>
        <v>122248</v>
      </c>
      <c r="D52" s="12" t="n">
        <f aca="false">SUMIFS(Cleaned_Data!$K$2:$K$498,Cleaned_Data!$A$2:$A$498,$A52,Cleaned_Data!$J$2:$J$498,"INR",Cleaned_Data!$Q$2:$Q$498,D$18)</f>
        <v>157678</v>
      </c>
      <c r="E52" s="12" t="n">
        <f aca="false">SUMIFS(Cleaned_Data!$K$2:$K$498,Cleaned_Data!$A$2:$A$498,$A52,Cleaned_Data!$J$2:$J$498,"INR",Cleaned_Data!$Q$2:$Q$498,E$18)</f>
        <v>154738.31</v>
      </c>
      <c r="F52" s="12" t="n">
        <f aca="false">SUMIFS(Cleaned_Data!$K$2:$K$498,Cleaned_Data!$A$2:$A$498,$A52,Cleaned_Data!$J$2:$J$498,"INR",Cleaned_Data!$Q$2:$Q$498,F$18)</f>
        <v>0</v>
      </c>
      <c r="G52" s="12" t="n">
        <f aca="false">SUMIFS(Cleaned_Data!$K$2:$K$498,Cleaned_Data!$A$2:$A$498,$A52,Cleaned_Data!$J$2:$J$498,"INR",Cleaned_Data!$Q$2:$Q$498,G$18)</f>
        <v>300800.11</v>
      </c>
      <c r="H52" s="12" t="n">
        <f aca="false">SUMIFS(Cleaned_Data!$K$2:$K$498,Cleaned_Data!$A$2:$A$498,$A52,Cleaned_Data!$J$2:$J$498,"INR",Cleaned_Data!$Q$2:$Q$498,H$18)</f>
        <v>0</v>
      </c>
      <c r="I52" s="12" t="n">
        <f aca="false">SUM(C52:H52)</f>
        <v>735464.42</v>
      </c>
    </row>
    <row r="53" customFormat="false" ht="15" hidden="false" customHeight="false" outlineLevel="0" collapsed="false">
      <c r="A53" s="2" t="s">
        <v>1396</v>
      </c>
      <c r="B53" s="2" t="s">
        <v>1397</v>
      </c>
      <c r="C53" s="12" t="n">
        <f aca="false">SUMIFS(Cleaned_Data!$K$2:$K$498,Cleaned_Data!$A$2:$A$498,$A53,Cleaned_Data!$J$2:$J$498,"INR",Cleaned_Data!$Q$2:$Q$498,C$18)</f>
        <v>774174.15</v>
      </c>
      <c r="D53" s="12" t="n">
        <f aca="false">SUMIFS(Cleaned_Data!$K$2:$K$498,Cleaned_Data!$A$2:$A$498,$A53,Cleaned_Data!$J$2:$J$498,"INR",Cleaned_Data!$Q$2:$Q$498,D$18)</f>
        <v>24863.48</v>
      </c>
      <c r="E53" s="12" t="n">
        <f aca="false">SUMIFS(Cleaned_Data!$K$2:$K$498,Cleaned_Data!$A$2:$A$498,$A53,Cleaned_Data!$J$2:$J$498,"INR",Cleaned_Data!$Q$2:$Q$498,E$18)</f>
        <v>146459.25</v>
      </c>
      <c r="F53" s="12" t="n">
        <f aca="false">SUMIFS(Cleaned_Data!$K$2:$K$498,Cleaned_Data!$A$2:$A$498,$A53,Cleaned_Data!$J$2:$J$498,"INR",Cleaned_Data!$Q$2:$Q$498,F$18)</f>
        <v>-74580.82</v>
      </c>
      <c r="G53" s="12" t="n">
        <f aca="false">SUMIFS(Cleaned_Data!$K$2:$K$498,Cleaned_Data!$A$2:$A$498,$A53,Cleaned_Data!$J$2:$J$498,"INR",Cleaned_Data!$Q$2:$Q$498,G$18)</f>
        <v>55354</v>
      </c>
      <c r="H53" s="12" t="n">
        <f aca="false">SUMIFS(Cleaned_Data!$K$2:$K$498,Cleaned_Data!$A$2:$A$498,$A53,Cleaned_Data!$J$2:$J$498,"INR",Cleaned_Data!$Q$2:$Q$498,H$18)</f>
        <v>49324</v>
      </c>
      <c r="I53" s="12" t="n">
        <f aca="false">SUM(C53:H53)</f>
        <v>975594.06</v>
      </c>
    </row>
    <row r="54" customFormat="false" ht="15" hidden="false" customHeight="false" outlineLevel="0" collapsed="false">
      <c r="A54" s="2" t="s">
        <v>2280</v>
      </c>
      <c r="B54" s="2" t="s">
        <v>2281</v>
      </c>
      <c r="C54" s="12" t="n">
        <f aca="false">SUMIFS(Cleaned_Data!$K$2:$K$498,Cleaned_Data!$A$2:$A$498,$A54,Cleaned_Data!$J$2:$J$498,"INR",Cleaned_Data!$Q$2:$Q$498,C$18)</f>
        <v>918989.16</v>
      </c>
      <c r="D54" s="12" t="n">
        <f aca="false">SUMIFS(Cleaned_Data!$K$2:$K$498,Cleaned_Data!$A$2:$A$498,$A54,Cleaned_Data!$J$2:$J$498,"INR",Cleaned_Data!$Q$2:$Q$498,D$18)</f>
        <v>121708</v>
      </c>
      <c r="E54" s="12" t="n">
        <f aca="false">SUMIFS(Cleaned_Data!$K$2:$K$498,Cleaned_Data!$A$2:$A$498,$A54,Cleaned_Data!$J$2:$J$498,"INR",Cleaned_Data!$Q$2:$Q$498,E$18)</f>
        <v>343694.29</v>
      </c>
      <c r="F54" s="12" t="n">
        <f aca="false">SUMIFS(Cleaned_Data!$K$2:$K$498,Cleaned_Data!$A$2:$A$498,$A54,Cleaned_Data!$J$2:$J$498,"INR",Cleaned_Data!$Q$2:$Q$498,F$18)</f>
        <v>28435.15</v>
      </c>
      <c r="G54" s="12" t="n">
        <f aca="false">SUMIFS(Cleaned_Data!$K$2:$K$498,Cleaned_Data!$A$2:$A$498,$A54,Cleaned_Data!$J$2:$J$498,"INR",Cleaned_Data!$Q$2:$Q$498,G$18)</f>
        <v>63602</v>
      </c>
      <c r="H54" s="12" t="n">
        <f aca="false">SUMIFS(Cleaned_Data!$K$2:$K$498,Cleaned_Data!$A$2:$A$498,$A54,Cleaned_Data!$J$2:$J$498,"INR",Cleaned_Data!$Q$2:$Q$498,H$18)</f>
        <v>-5300</v>
      </c>
      <c r="I54" s="12" t="n">
        <f aca="false">SUM(C54:H54)</f>
        <v>1471128.6</v>
      </c>
    </row>
    <row r="55" customFormat="false" ht="15" hidden="false" customHeight="false" outlineLevel="0" collapsed="false">
      <c r="A55" s="2" t="s">
        <v>2284</v>
      </c>
      <c r="B55" s="2" t="s">
        <v>2285</v>
      </c>
      <c r="C55" s="12" t="n">
        <f aca="false">SUMIFS(Cleaned_Data!$K$2:$K$498,Cleaned_Data!$A$2:$A$498,$A55,Cleaned_Data!$J$2:$J$498,"INR",Cleaned_Data!$Q$2:$Q$498,C$18)</f>
        <v>249606.01</v>
      </c>
      <c r="D55" s="12" t="n">
        <f aca="false">SUMIFS(Cleaned_Data!$K$2:$K$498,Cleaned_Data!$A$2:$A$498,$A55,Cleaned_Data!$J$2:$J$498,"INR",Cleaned_Data!$Q$2:$Q$498,D$18)</f>
        <v>0</v>
      </c>
      <c r="E55" s="12" t="n">
        <f aca="false">SUMIFS(Cleaned_Data!$K$2:$K$498,Cleaned_Data!$A$2:$A$498,$A55,Cleaned_Data!$J$2:$J$498,"INR",Cleaned_Data!$Q$2:$Q$498,E$18)</f>
        <v>220542</v>
      </c>
      <c r="F55" s="12" t="n">
        <f aca="false">SUMIFS(Cleaned_Data!$K$2:$K$498,Cleaned_Data!$A$2:$A$498,$A55,Cleaned_Data!$J$2:$J$498,"INR",Cleaned_Data!$Q$2:$Q$498,F$18)</f>
        <v>15855</v>
      </c>
      <c r="G55" s="12" t="n">
        <f aca="false">SUMIFS(Cleaned_Data!$K$2:$K$498,Cleaned_Data!$A$2:$A$498,$A55,Cleaned_Data!$J$2:$J$498,"INR",Cleaned_Data!$Q$2:$Q$498,G$18)</f>
        <v>909223.89</v>
      </c>
      <c r="H55" s="12" t="n">
        <f aca="false">SUMIFS(Cleaned_Data!$K$2:$K$498,Cleaned_Data!$A$2:$A$498,$A55,Cleaned_Data!$J$2:$J$498,"INR",Cleaned_Data!$Q$2:$Q$498,H$18)</f>
        <v>360958.48</v>
      </c>
      <c r="I55" s="12" t="n">
        <f aca="false">SUM(C55:H55)</f>
        <v>1756185.38</v>
      </c>
    </row>
    <row r="56" customFormat="false" ht="15" hidden="false" customHeight="false" outlineLevel="0" collapsed="false">
      <c r="A56" s="2" t="s">
        <v>1546</v>
      </c>
      <c r="B56" s="2" t="s">
        <v>2287</v>
      </c>
      <c r="C56" s="12" t="n">
        <f aca="false">SUMIFS(Cleaned_Data!$K$2:$K$498,Cleaned_Data!$A$2:$A$498,$A56,Cleaned_Data!$J$2:$J$498,"INR",Cleaned_Data!$Q$2:$Q$498,C$18)</f>
        <v>0</v>
      </c>
      <c r="D56" s="12" t="n">
        <f aca="false">SUMIFS(Cleaned_Data!$K$2:$K$498,Cleaned_Data!$A$2:$A$498,$A56,Cleaned_Data!$J$2:$J$498,"INR",Cleaned_Data!$Q$2:$Q$498,D$18)</f>
        <v>88522.62</v>
      </c>
      <c r="E56" s="12" t="n">
        <f aca="false">SUMIFS(Cleaned_Data!$K$2:$K$498,Cleaned_Data!$A$2:$A$498,$A56,Cleaned_Data!$J$2:$J$498,"INR",Cleaned_Data!$Q$2:$Q$498,E$18)</f>
        <v>423251.34</v>
      </c>
      <c r="F56" s="12" t="n">
        <f aca="false">SUMIFS(Cleaned_Data!$K$2:$K$498,Cleaned_Data!$A$2:$A$498,$A56,Cleaned_Data!$J$2:$J$498,"INR",Cleaned_Data!$Q$2:$Q$498,F$18)</f>
        <v>0</v>
      </c>
      <c r="G56" s="12" t="n">
        <f aca="false">SUMIFS(Cleaned_Data!$K$2:$K$498,Cleaned_Data!$A$2:$A$498,$A56,Cleaned_Data!$J$2:$J$498,"INR",Cleaned_Data!$Q$2:$Q$498,G$18)</f>
        <v>176056</v>
      </c>
      <c r="H56" s="12" t="n">
        <f aca="false">SUMIFS(Cleaned_Data!$K$2:$K$498,Cleaned_Data!$A$2:$A$498,$A56,Cleaned_Data!$J$2:$J$498,"INR",Cleaned_Data!$Q$2:$Q$498,H$18)</f>
        <v>0</v>
      </c>
      <c r="I56" s="12" t="n">
        <f aca="false">SUM(C56:H56)</f>
        <v>687829.96</v>
      </c>
    </row>
    <row r="57" customFormat="false" ht="15" hidden="false" customHeight="false" outlineLevel="0" collapsed="false">
      <c r="A57" s="2" t="s">
        <v>1562</v>
      </c>
      <c r="B57" s="2" t="s">
        <v>1563</v>
      </c>
      <c r="C57" s="12" t="n">
        <f aca="false">SUMIFS(Cleaned_Data!$K$2:$K$498,Cleaned_Data!$A$2:$A$498,$A57,Cleaned_Data!$J$2:$J$498,"INR",Cleaned_Data!$Q$2:$Q$498,C$18)</f>
        <v>454315.72</v>
      </c>
      <c r="D57" s="12" t="n">
        <f aca="false">SUMIFS(Cleaned_Data!$K$2:$K$498,Cleaned_Data!$A$2:$A$498,$A57,Cleaned_Data!$J$2:$J$498,"INR",Cleaned_Data!$Q$2:$Q$498,D$18)</f>
        <v>377392.36</v>
      </c>
      <c r="E57" s="12" t="n">
        <f aca="false">SUMIFS(Cleaned_Data!$K$2:$K$498,Cleaned_Data!$A$2:$A$498,$A57,Cleaned_Data!$J$2:$J$498,"INR",Cleaned_Data!$Q$2:$Q$498,E$18)</f>
        <v>357029.48</v>
      </c>
      <c r="F57" s="12" t="n">
        <f aca="false">SUMIFS(Cleaned_Data!$K$2:$K$498,Cleaned_Data!$A$2:$A$498,$A57,Cleaned_Data!$J$2:$J$498,"INR",Cleaned_Data!$Q$2:$Q$498,F$18)</f>
        <v>0</v>
      </c>
      <c r="G57" s="12" t="n">
        <f aca="false">SUMIFS(Cleaned_Data!$K$2:$K$498,Cleaned_Data!$A$2:$A$498,$A57,Cleaned_Data!$J$2:$J$498,"INR",Cleaned_Data!$Q$2:$Q$498,G$18)</f>
        <v>-339663.2</v>
      </c>
      <c r="H57" s="12" t="n">
        <f aca="false">SUMIFS(Cleaned_Data!$K$2:$K$498,Cleaned_Data!$A$2:$A$498,$A57,Cleaned_Data!$J$2:$J$498,"INR",Cleaned_Data!$Q$2:$Q$498,H$18)</f>
        <v>237269.97</v>
      </c>
      <c r="I57" s="12" t="n">
        <f aca="false">SUM(C57:H57)</f>
        <v>1086344.33</v>
      </c>
    </row>
    <row r="58" customFormat="false" ht="15" hidden="false" customHeight="false" outlineLevel="0" collapsed="false">
      <c r="A58" s="2" t="s">
        <v>1649</v>
      </c>
      <c r="B58" s="2" t="s">
        <v>2293</v>
      </c>
      <c r="C58" s="12" t="n">
        <f aca="false">SUMIFS(Cleaned_Data!$K$2:$K$498,Cleaned_Data!$A$2:$A$498,$A58,Cleaned_Data!$J$2:$J$498,"INR",Cleaned_Data!$Q$2:$Q$498,C$18)</f>
        <v>37878</v>
      </c>
      <c r="D58" s="12" t="n">
        <f aca="false">SUMIFS(Cleaned_Data!$K$2:$K$498,Cleaned_Data!$A$2:$A$498,$A58,Cleaned_Data!$J$2:$J$498,"INR",Cleaned_Data!$Q$2:$Q$498,D$18)</f>
        <v>15717.8</v>
      </c>
      <c r="E58" s="12" t="n">
        <f aca="false">SUMIFS(Cleaned_Data!$K$2:$K$498,Cleaned_Data!$A$2:$A$498,$A58,Cleaned_Data!$J$2:$J$498,"INR",Cleaned_Data!$Q$2:$Q$498,E$18)</f>
        <v>0</v>
      </c>
      <c r="F58" s="12" t="n">
        <f aca="false">SUMIFS(Cleaned_Data!$K$2:$K$498,Cleaned_Data!$A$2:$A$498,$A58,Cleaned_Data!$J$2:$J$498,"INR",Cleaned_Data!$Q$2:$Q$498,F$18)</f>
        <v>0</v>
      </c>
      <c r="G58" s="12" t="n">
        <f aca="false">SUMIFS(Cleaned_Data!$K$2:$K$498,Cleaned_Data!$A$2:$A$498,$A58,Cleaned_Data!$J$2:$J$498,"INR",Cleaned_Data!$Q$2:$Q$498,G$18)</f>
        <v>0</v>
      </c>
      <c r="H58" s="12" t="n">
        <f aca="false">SUMIFS(Cleaned_Data!$K$2:$K$498,Cleaned_Data!$A$2:$A$498,$A58,Cleaned_Data!$J$2:$J$498,"INR",Cleaned_Data!$Q$2:$Q$498,H$18)</f>
        <v>0</v>
      </c>
      <c r="I58" s="12" t="n">
        <f aca="false">SUM(C58:H58)</f>
        <v>53595.8</v>
      </c>
    </row>
    <row r="59" customFormat="false" ht="15" hidden="false" customHeight="false" outlineLevel="0" collapsed="false">
      <c r="A59" s="2" t="s">
        <v>1660</v>
      </c>
      <c r="B59" s="2" t="s">
        <v>1661</v>
      </c>
      <c r="C59" s="12" t="n">
        <f aca="false">SUMIFS(Cleaned_Data!$K$2:$K$498,Cleaned_Data!$A$2:$A$498,$A59,Cleaned_Data!$J$2:$J$498,"INR",Cleaned_Data!$Q$2:$Q$498,C$18)</f>
        <v>158002</v>
      </c>
      <c r="D59" s="12" t="n">
        <f aca="false">SUMIFS(Cleaned_Data!$K$2:$K$498,Cleaned_Data!$A$2:$A$498,$A59,Cleaned_Data!$J$2:$J$498,"INR",Cleaned_Data!$Q$2:$Q$498,D$18)</f>
        <v>34220</v>
      </c>
      <c r="E59" s="12" t="n">
        <f aca="false">SUMIFS(Cleaned_Data!$K$2:$K$498,Cleaned_Data!$A$2:$A$498,$A59,Cleaned_Data!$J$2:$J$498,"INR",Cleaned_Data!$Q$2:$Q$498,E$18)</f>
        <v>0</v>
      </c>
      <c r="F59" s="12" t="n">
        <f aca="false">SUMIFS(Cleaned_Data!$K$2:$K$498,Cleaned_Data!$A$2:$A$498,$A59,Cleaned_Data!$J$2:$J$498,"INR",Cleaned_Data!$Q$2:$Q$498,F$18)</f>
        <v>0</v>
      </c>
      <c r="G59" s="12" t="n">
        <f aca="false">SUMIFS(Cleaned_Data!$K$2:$K$498,Cleaned_Data!$A$2:$A$498,$A59,Cleaned_Data!$J$2:$J$498,"INR",Cleaned_Data!$Q$2:$Q$498,G$18)</f>
        <v>62608</v>
      </c>
      <c r="H59" s="12" t="n">
        <f aca="false">SUMIFS(Cleaned_Data!$K$2:$K$498,Cleaned_Data!$A$2:$A$498,$A59,Cleaned_Data!$J$2:$J$498,"INR",Cleaned_Data!$Q$2:$Q$498,H$18)</f>
        <v>0</v>
      </c>
      <c r="I59" s="12" t="n">
        <f aca="false">SUM(C59:H59)</f>
        <v>254830</v>
      </c>
    </row>
    <row r="60" customFormat="false" ht="15" hidden="false" customHeight="false" outlineLevel="0" collapsed="false">
      <c r="A60" s="2" t="s">
        <v>2294</v>
      </c>
      <c r="B60" s="2" t="s">
        <v>1673</v>
      </c>
      <c r="C60" s="12" t="n">
        <f aca="false">SUMIFS(Cleaned_Data!$K$2:$K$498,Cleaned_Data!$A$2:$A$498,$A60,Cleaned_Data!$J$2:$J$498,"INR",Cleaned_Data!$Q$2:$Q$498,C$18)</f>
        <v>384721.72</v>
      </c>
      <c r="D60" s="12" t="n">
        <f aca="false">SUMIFS(Cleaned_Data!$K$2:$K$498,Cleaned_Data!$A$2:$A$498,$A60,Cleaned_Data!$J$2:$J$498,"INR",Cleaned_Data!$Q$2:$Q$498,D$18)</f>
        <v>0</v>
      </c>
      <c r="E60" s="12" t="n">
        <f aca="false">SUMIFS(Cleaned_Data!$K$2:$K$498,Cleaned_Data!$A$2:$A$498,$A60,Cleaned_Data!$J$2:$J$498,"INR",Cleaned_Data!$Q$2:$Q$498,E$18)</f>
        <v>-68200</v>
      </c>
      <c r="F60" s="12" t="n">
        <f aca="false">SUMIFS(Cleaned_Data!$K$2:$K$498,Cleaned_Data!$A$2:$A$498,$A60,Cleaned_Data!$J$2:$J$498,"INR",Cleaned_Data!$Q$2:$Q$498,F$18)</f>
        <v>119180</v>
      </c>
      <c r="G60" s="12" t="n">
        <f aca="false">SUMIFS(Cleaned_Data!$K$2:$K$498,Cleaned_Data!$A$2:$A$498,$A60,Cleaned_Data!$J$2:$J$498,"INR",Cleaned_Data!$Q$2:$Q$498,G$18)</f>
        <v>0</v>
      </c>
      <c r="H60" s="12" t="n">
        <f aca="false">SUMIFS(Cleaned_Data!$K$2:$K$498,Cleaned_Data!$A$2:$A$498,$A60,Cleaned_Data!$J$2:$J$498,"INR",Cleaned_Data!$Q$2:$Q$498,H$18)</f>
        <v>0</v>
      </c>
      <c r="I60" s="12" t="n">
        <f aca="false">SUM(C60:H60)</f>
        <v>435701.72</v>
      </c>
    </row>
    <row r="61" customFormat="false" ht="15" hidden="false" customHeight="false" outlineLevel="0" collapsed="false">
      <c r="A61" s="2" t="s">
        <v>1698</v>
      </c>
      <c r="B61" s="2" t="s">
        <v>1699</v>
      </c>
      <c r="C61" s="12" t="n">
        <f aca="false">SUMIFS(Cleaned_Data!$K$2:$K$498,Cleaned_Data!$A$2:$A$498,$A61,Cleaned_Data!$J$2:$J$498,"INR",Cleaned_Data!$Q$2:$Q$498,C$18)</f>
        <v>75947</v>
      </c>
      <c r="D61" s="12" t="n">
        <f aca="false">SUMIFS(Cleaned_Data!$K$2:$K$498,Cleaned_Data!$A$2:$A$498,$A61,Cleaned_Data!$J$2:$J$498,"INR",Cleaned_Data!$Q$2:$Q$498,D$18)</f>
        <v>-50090.6</v>
      </c>
      <c r="E61" s="12" t="n">
        <f aca="false">SUMIFS(Cleaned_Data!$K$2:$K$498,Cleaned_Data!$A$2:$A$498,$A61,Cleaned_Data!$J$2:$J$498,"INR",Cleaned_Data!$Q$2:$Q$498,E$18)</f>
        <v>54870</v>
      </c>
      <c r="F61" s="12" t="n">
        <f aca="false">SUMIFS(Cleaned_Data!$K$2:$K$498,Cleaned_Data!$A$2:$A$498,$A61,Cleaned_Data!$J$2:$J$498,"INR",Cleaned_Data!$Q$2:$Q$498,F$18)</f>
        <v>0</v>
      </c>
      <c r="G61" s="12" t="n">
        <f aca="false">SUMIFS(Cleaned_Data!$K$2:$K$498,Cleaned_Data!$A$2:$A$498,$A61,Cleaned_Data!$J$2:$J$498,"INR",Cleaned_Data!$Q$2:$Q$498,G$18)</f>
        <v>137872</v>
      </c>
      <c r="H61" s="12" t="n">
        <f aca="false">SUMIFS(Cleaned_Data!$K$2:$K$498,Cleaned_Data!$A$2:$A$498,$A61,Cleaned_Data!$J$2:$J$498,"INR",Cleaned_Data!$Q$2:$Q$498,H$18)</f>
        <v>184800</v>
      </c>
      <c r="I61" s="12" t="n">
        <f aca="false">SUM(C61:H61)</f>
        <v>403398.4</v>
      </c>
    </row>
    <row r="62" customFormat="false" ht="15" hidden="false" customHeight="false" outlineLevel="0" collapsed="false">
      <c r="A62" s="2" t="s">
        <v>1730</v>
      </c>
      <c r="B62" s="2" t="s">
        <v>1731</v>
      </c>
      <c r="C62" s="12" t="n">
        <f aca="false">SUMIFS(Cleaned_Data!$K$2:$K$498,Cleaned_Data!$A$2:$A$498,$A62,Cleaned_Data!$J$2:$J$498,"INR",Cleaned_Data!$Q$2:$Q$498,C$18)</f>
        <v>240035.99</v>
      </c>
      <c r="D62" s="12" t="n">
        <f aca="false">SUMIFS(Cleaned_Data!$K$2:$K$498,Cleaned_Data!$A$2:$A$498,$A62,Cleaned_Data!$J$2:$J$498,"INR",Cleaned_Data!$Q$2:$Q$498,D$18)</f>
        <v>0</v>
      </c>
      <c r="E62" s="12" t="n">
        <f aca="false">SUMIFS(Cleaned_Data!$K$2:$K$498,Cleaned_Data!$A$2:$A$498,$A62,Cleaned_Data!$J$2:$J$498,"INR",Cleaned_Data!$Q$2:$Q$498,E$18)</f>
        <v>0</v>
      </c>
      <c r="F62" s="12" t="n">
        <f aca="false">SUMIFS(Cleaned_Data!$K$2:$K$498,Cleaned_Data!$A$2:$A$498,$A62,Cleaned_Data!$J$2:$J$498,"INR",Cleaned_Data!$Q$2:$Q$498,F$18)</f>
        <v>0</v>
      </c>
      <c r="G62" s="12" t="n">
        <f aca="false">SUMIFS(Cleaned_Data!$K$2:$K$498,Cleaned_Data!$A$2:$A$498,$A62,Cleaned_Data!$J$2:$J$498,"INR",Cleaned_Data!$Q$2:$Q$498,G$18)</f>
        <v>139240</v>
      </c>
      <c r="H62" s="12" t="n">
        <f aca="false">SUMIFS(Cleaned_Data!$K$2:$K$498,Cleaned_Data!$A$2:$A$498,$A62,Cleaned_Data!$J$2:$J$498,"INR",Cleaned_Data!$Q$2:$Q$498,H$18)</f>
        <v>0</v>
      </c>
      <c r="I62" s="12" t="n">
        <f aca="false">SUM(C62:H62)</f>
        <v>379275.99</v>
      </c>
    </row>
    <row r="63" customFormat="false" ht="15" hidden="false" customHeight="false" outlineLevel="0" collapsed="false">
      <c r="A63" s="2" t="s">
        <v>1747</v>
      </c>
      <c r="B63" s="2" t="s">
        <v>1748</v>
      </c>
      <c r="C63" s="12" t="n">
        <f aca="false">SUMIFS(Cleaned_Data!$K$2:$K$498,Cleaned_Data!$A$2:$A$498,$A63,Cleaned_Data!$J$2:$J$498,"INR",Cleaned_Data!$Q$2:$Q$498,C$18)</f>
        <v>1188049.7</v>
      </c>
      <c r="D63" s="12" t="n">
        <f aca="false">SUMIFS(Cleaned_Data!$K$2:$K$498,Cleaned_Data!$A$2:$A$498,$A63,Cleaned_Data!$J$2:$J$498,"INR",Cleaned_Data!$Q$2:$Q$498,D$18)</f>
        <v>376082</v>
      </c>
      <c r="E63" s="12" t="n">
        <f aca="false">SUMIFS(Cleaned_Data!$K$2:$K$498,Cleaned_Data!$A$2:$A$498,$A63,Cleaned_Data!$J$2:$J$498,"INR",Cleaned_Data!$Q$2:$Q$498,E$18)</f>
        <v>41808.24</v>
      </c>
      <c r="F63" s="12" t="n">
        <f aca="false">SUMIFS(Cleaned_Data!$K$2:$K$498,Cleaned_Data!$A$2:$A$498,$A63,Cleaned_Data!$J$2:$J$498,"INR",Cleaned_Data!$Q$2:$Q$498,F$18)</f>
        <v>228096</v>
      </c>
      <c r="G63" s="12" t="n">
        <f aca="false">SUMIFS(Cleaned_Data!$K$2:$K$498,Cleaned_Data!$A$2:$A$498,$A63,Cleaned_Data!$J$2:$J$498,"INR",Cleaned_Data!$Q$2:$Q$498,G$18)</f>
        <v>353270.27</v>
      </c>
      <c r="H63" s="12" t="n">
        <f aca="false">SUMIFS(Cleaned_Data!$K$2:$K$498,Cleaned_Data!$A$2:$A$498,$A63,Cleaned_Data!$J$2:$J$498,"INR",Cleaned_Data!$Q$2:$Q$498,H$18)</f>
        <v>-23472.13</v>
      </c>
      <c r="I63" s="12" t="n">
        <f aca="false">SUM(C63:H63)</f>
        <v>2163834.08</v>
      </c>
    </row>
    <row r="64" customFormat="false" ht="15" hidden="false" customHeight="false" outlineLevel="0" collapsed="false">
      <c r="A64" s="2" t="s">
        <v>2304</v>
      </c>
      <c r="B64" s="2" t="s">
        <v>1859</v>
      </c>
      <c r="C64" s="12" t="n">
        <f aca="false">SUMIFS(Cleaned_Data!$K$2:$K$498,Cleaned_Data!$A$2:$A$498,$A64,Cleaned_Data!$J$2:$J$498,"INR",Cleaned_Data!$Q$2:$Q$498,C$18)</f>
        <v>112100</v>
      </c>
      <c r="D64" s="12" t="n">
        <f aca="false">SUMIFS(Cleaned_Data!$K$2:$K$498,Cleaned_Data!$A$2:$A$498,$A64,Cleaned_Data!$J$2:$J$498,"INR",Cleaned_Data!$Q$2:$Q$498,D$18)</f>
        <v>0</v>
      </c>
      <c r="E64" s="12" t="n">
        <f aca="false">SUMIFS(Cleaned_Data!$K$2:$K$498,Cleaned_Data!$A$2:$A$498,$A64,Cleaned_Data!$J$2:$J$498,"INR",Cleaned_Data!$Q$2:$Q$498,E$18)</f>
        <v>0</v>
      </c>
      <c r="F64" s="12" t="n">
        <f aca="false">SUMIFS(Cleaned_Data!$K$2:$K$498,Cleaned_Data!$A$2:$A$498,$A64,Cleaned_Data!$J$2:$J$498,"INR",Cleaned_Data!$Q$2:$Q$498,F$18)</f>
        <v>26078</v>
      </c>
      <c r="G64" s="12" t="n">
        <f aca="false">SUMIFS(Cleaned_Data!$K$2:$K$498,Cleaned_Data!$A$2:$A$498,$A64,Cleaned_Data!$J$2:$J$498,"INR",Cleaned_Data!$Q$2:$Q$498,G$18)</f>
        <v>23335.98</v>
      </c>
      <c r="H64" s="12" t="n">
        <f aca="false">SUMIFS(Cleaned_Data!$K$2:$K$498,Cleaned_Data!$A$2:$A$498,$A64,Cleaned_Data!$J$2:$J$498,"INR",Cleaned_Data!$Q$2:$Q$498,H$18)</f>
        <v>0</v>
      </c>
      <c r="I64" s="12" t="n">
        <f aca="false">SUM(C64:H64)</f>
        <v>161513.98</v>
      </c>
    </row>
    <row r="65" customFormat="false" ht="15" hidden="false" customHeight="false" outlineLevel="0" collapsed="false">
      <c r="A65" s="2" t="s">
        <v>1893</v>
      </c>
      <c r="B65" s="2" t="s">
        <v>1894</v>
      </c>
      <c r="C65" s="12" t="n">
        <f aca="false">SUMIFS(Cleaned_Data!$K$2:$K$498,Cleaned_Data!$A$2:$A$498,$A65,Cleaned_Data!$J$2:$J$498,"INR",Cleaned_Data!$Q$2:$Q$498,C$18)</f>
        <v>255020.04</v>
      </c>
      <c r="D65" s="12" t="n">
        <f aca="false">SUMIFS(Cleaned_Data!$K$2:$K$498,Cleaned_Data!$A$2:$A$498,$A65,Cleaned_Data!$J$2:$J$498,"INR",Cleaned_Data!$Q$2:$Q$498,D$18)</f>
        <v>10891.7</v>
      </c>
      <c r="E65" s="12" t="n">
        <f aca="false">SUMIFS(Cleaned_Data!$K$2:$K$498,Cleaned_Data!$A$2:$A$498,$A65,Cleaned_Data!$J$2:$J$498,"INR",Cleaned_Data!$Q$2:$Q$498,E$18)</f>
        <v>0</v>
      </c>
      <c r="F65" s="12" t="n">
        <f aca="false">SUMIFS(Cleaned_Data!$K$2:$K$498,Cleaned_Data!$A$2:$A$498,$A65,Cleaned_Data!$J$2:$J$498,"INR",Cleaned_Data!$Q$2:$Q$498,F$18)</f>
        <v>139206.18</v>
      </c>
      <c r="G65" s="12" t="n">
        <f aca="false">SUMIFS(Cleaned_Data!$K$2:$K$498,Cleaned_Data!$A$2:$A$498,$A65,Cleaned_Data!$J$2:$J$498,"INR",Cleaned_Data!$Q$2:$Q$498,G$18)</f>
        <v>75930.15</v>
      </c>
      <c r="H65" s="12" t="n">
        <f aca="false">SUMIFS(Cleaned_Data!$K$2:$K$498,Cleaned_Data!$A$2:$A$498,$A65,Cleaned_Data!$J$2:$J$498,"INR",Cleaned_Data!$Q$2:$Q$498,H$18)</f>
        <v>199351.37</v>
      </c>
      <c r="I65" s="12" t="n">
        <f aca="false">SUM(C65:H65)</f>
        <v>680399.44</v>
      </c>
    </row>
    <row r="66" customFormat="false" ht="15" hidden="false" customHeight="false" outlineLevel="0" collapsed="false">
      <c r="A66" s="2" t="s">
        <v>1936</v>
      </c>
      <c r="B66" s="2" t="s">
        <v>1937</v>
      </c>
      <c r="C66" s="12" t="n">
        <f aca="false">SUMIFS(Cleaned_Data!$K$2:$K$498,Cleaned_Data!$A$2:$A$498,$A66,Cleaned_Data!$J$2:$J$498,"INR",Cleaned_Data!$Q$2:$Q$498,C$18)</f>
        <v>483808</v>
      </c>
      <c r="D66" s="12" t="n">
        <f aca="false">SUMIFS(Cleaned_Data!$K$2:$K$498,Cleaned_Data!$A$2:$A$498,$A66,Cleaned_Data!$J$2:$J$498,"INR",Cleaned_Data!$Q$2:$Q$498,D$18)</f>
        <v>20341.7</v>
      </c>
      <c r="E66" s="12" t="n">
        <f aca="false">SUMIFS(Cleaned_Data!$K$2:$K$498,Cleaned_Data!$A$2:$A$498,$A66,Cleaned_Data!$J$2:$J$498,"INR",Cleaned_Data!$Q$2:$Q$498,E$18)</f>
        <v>0</v>
      </c>
      <c r="F66" s="12" t="n">
        <f aca="false">SUMIFS(Cleaned_Data!$K$2:$K$498,Cleaned_Data!$A$2:$A$498,$A66,Cleaned_Data!$J$2:$J$498,"INR",Cleaned_Data!$Q$2:$Q$498,F$18)</f>
        <v>0</v>
      </c>
      <c r="G66" s="12" t="n">
        <f aca="false">SUMIFS(Cleaned_Data!$K$2:$K$498,Cleaned_Data!$A$2:$A$498,$A66,Cleaned_Data!$J$2:$J$498,"INR",Cleaned_Data!$Q$2:$Q$498,G$18)</f>
        <v>43710.86</v>
      </c>
      <c r="H66" s="12" t="n">
        <f aca="false">SUMIFS(Cleaned_Data!$K$2:$K$498,Cleaned_Data!$A$2:$A$498,$A66,Cleaned_Data!$J$2:$J$498,"INR",Cleaned_Data!$Q$2:$Q$498,H$18)</f>
        <v>0</v>
      </c>
      <c r="I66" s="12" t="n">
        <f aca="false">SUM(C66:H66)</f>
        <v>547860.56</v>
      </c>
    </row>
    <row r="67" customFormat="false" ht="15" hidden="false" customHeight="false" outlineLevel="0" collapsed="false">
      <c r="A67" s="2" t="s">
        <v>1954</v>
      </c>
      <c r="B67" s="2" t="s">
        <v>1955</v>
      </c>
      <c r="C67" s="12" t="n">
        <f aca="false">SUMIFS(Cleaned_Data!$K$2:$K$498,Cleaned_Data!$A$2:$A$498,$A67,Cleaned_Data!$J$2:$J$498,"INR",Cleaned_Data!$Q$2:$Q$498,C$18)</f>
        <v>710217.93</v>
      </c>
      <c r="D67" s="12" t="n">
        <f aca="false">SUMIFS(Cleaned_Data!$K$2:$K$498,Cleaned_Data!$A$2:$A$498,$A67,Cleaned_Data!$J$2:$J$498,"INR",Cleaned_Data!$Q$2:$Q$498,D$18)</f>
        <v>43680</v>
      </c>
      <c r="E67" s="12" t="n">
        <f aca="false">SUMIFS(Cleaned_Data!$K$2:$K$498,Cleaned_Data!$A$2:$A$498,$A67,Cleaned_Data!$J$2:$J$498,"INR",Cleaned_Data!$Q$2:$Q$498,E$18)</f>
        <v>-78000</v>
      </c>
      <c r="F67" s="12" t="n">
        <f aca="false">SUMIFS(Cleaned_Data!$K$2:$K$498,Cleaned_Data!$A$2:$A$498,$A67,Cleaned_Data!$J$2:$J$498,"INR",Cleaned_Data!$Q$2:$Q$498,F$18)</f>
        <v>0</v>
      </c>
      <c r="G67" s="12" t="n">
        <f aca="false">SUMIFS(Cleaned_Data!$K$2:$K$498,Cleaned_Data!$A$2:$A$498,$A67,Cleaned_Data!$J$2:$J$498,"INR",Cleaned_Data!$Q$2:$Q$498,G$18)</f>
        <v>318193.66</v>
      </c>
      <c r="H67" s="12" t="n">
        <f aca="false">SUMIFS(Cleaned_Data!$K$2:$K$498,Cleaned_Data!$A$2:$A$498,$A67,Cleaned_Data!$J$2:$J$498,"INR",Cleaned_Data!$Q$2:$Q$498,H$18)</f>
        <v>0</v>
      </c>
      <c r="I67" s="12" t="n">
        <f aca="false">SUM(C67:H67)</f>
        <v>994091.59</v>
      </c>
    </row>
    <row r="68" customFormat="false" ht="15" hidden="false" customHeight="false" outlineLevel="0" collapsed="false">
      <c r="A68" s="2" t="s">
        <v>1983</v>
      </c>
      <c r="B68" s="2" t="s">
        <v>2309</v>
      </c>
      <c r="C68" s="12" t="n">
        <f aca="false">SUMIFS(Cleaned_Data!$K$2:$K$498,Cleaned_Data!$A$2:$A$498,$A68,Cleaned_Data!$J$2:$J$498,"INR",Cleaned_Data!$Q$2:$Q$498,C$18)</f>
        <v>46610</v>
      </c>
      <c r="D68" s="12" t="n">
        <f aca="false">SUMIFS(Cleaned_Data!$K$2:$K$498,Cleaned_Data!$A$2:$A$498,$A68,Cleaned_Data!$J$2:$J$498,"INR",Cleaned_Data!$Q$2:$Q$498,D$18)</f>
        <v>0</v>
      </c>
      <c r="E68" s="12" t="n">
        <f aca="false">SUMIFS(Cleaned_Data!$K$2:$K$498,Cleaned_Data!$A$2:$A$498,$A68,Cleaned_Data!$J$2:$J$498,"INR",Cleaned_Data!$Q$2:$Q$498,E$18)</f>
        <v>227328.52</v>
      </c>
      <c r="F68" s="12" t="n">
        <f aca="false">SUMIFS(Cleaned_Data!$K$2:$K$498,Cleaned_Data!$A$2:$A$498,$A68,Cleaned_Data!$J$2:$J$498,"INR",Cleaned_Data!$Q$2:$Q$498,F$18)</f>
        <v>0</v>
      </c>
      <c r="G68" s="12" t="n">
        <f aca="false">SUMIFS(Cleaned_Data!$K$2:$K$498,Cleaned_Data!$A$2:$A$498,$A68,Cleaned_Data!$J$2:$J$498,"INR",Cleaned_Data!$Q$2:$Q$498,G$18)</f>
        <v>-393000</v>
      </c>
      <c r="H68" s="12" t="n">
        <f aca="false">SUMIFS(Cleaned_Data!$K$2:$K$498,Cleaned_Data!$A$2:$A$498,$A68,Cleaned_Data!$J$2:$J$498,"INR",Cleaned_Data!$Q$2:$Q$498,H$18)</f>
        <v>0</v>
      </c>
      <c r="I68" s="12" t="n">
        <f aca="false">SUM(C68:H68)</f>
        <v>-119061.48</v>
      </c>
    </row>
    <row r="69" customFormat="false" ht="15" hidden="false" customHeight="false" outlineLevel="0" collapsed="false">
      <c r="A69" s="2" t="s">
        <v>2042</v>
      </c>
      <c r="B69" s="2" t="s">
        <v>2006</v>
      </c>
      <c r="C69" s="12" t="n">
        <f aca="false">SUMIFS(Cleaned_Data!$K$2:$K$498,Cleaned_Data!$A$2:$A$498,$A69,Cleaned_Data!$J$2:$J$498,"INR",Cleaned_Data!$Q$2:$Q$498,C$18)</f>
        <v>209214</v>
      </c>
      <c r="D69" s="12" t="n">
        <f aca="false">SUMIFS(Cleaned_Data!$K$2:$K$498,Cleaned_Data!$A$2:$A$498,$A69,Cleaned_Data!$J$2:$J$498,"INR",Cleaned_Data!$Q$2:$Q$498,D$18)</f>
        <v>432104.76</v>
      </c>
      <c r="E69" s="12" t="n">
        <f aca="false">SUMIFS(Cleaned_Data!$K$2:$K$498,Cleaned_Data!$A$2:$A$498,$A69,Cleaned_Data!$J$2:$J$498,"INR",Cleaned_Data!$Q$2:$Q$498,E$18)</f>
        <v>56647.36</v>
      </c>
      <c r="F69" s="12" t="n">
        <f aca="false">SUMIFS(Cleaned_Data!$K$2:$K$498,Cleaned_Data!$A$2:$A$498,$A69,Cleaned_Data!$J$2:$J$498,"INR",Cleaned_Data!$Q$2:$Q$498,F$18)</f>
        <v>250160</v>
      </c>
      <c r="G69" s="12" t="n">
        <f aca="false">SUMIFS(Cleaned_Data!$K$2:$K$498,Cleaned_Data!$A$2:$A$498,$A69,Cleaned_Data!$J$2:$J$498,"INR",Cleaned_Data!$Q$2:$Q$498,G$18)</f>
        <v>9204</v>
      </c>
      <c r="H69" s="12" t="n">
        <f aca="false">SUMIFS(Cleaned_Data!$K$2:$K$498,Cleaned_Data!$A$2:$A$498,$A69,Cleaned_Data!$J$2:$J$498,"INR",Cleaned_Data!$Q$2:$Q$498,H$18)</f>
        <v>342984.81</v>
      </c>
      <c r="I69" s="12" t="n">
        <f aca="false">SUM(C69:H69)</f>
        <v>1300314.93</v>
      </c>
    </row>
    <row r="70" customFormat="false" ht="15" hidden="false" customHeight="false" outlineLevel="0" collapsed="false">
      <c r="A70" s="2" t="s">
        <v>2047</v>
      </c>
      <c r="B70" s="2" t="s">
        <v>2048</v>
      </c>
      <c r="C70" s="12" t="n">
        <f aca="false">SUMIFS(Cleaned_Data!$K$2:$K$498,Cleaned_Data!$A$2:$A$498,$A70,Cleaned_Data!$J$2:$J$498,"INR",Cleaned_Data!$Q$2:$Q$498,C$18)</f>
        <v>363957.15</v>
      </c>
      <c r="D70" s="12" t="n">
        <f aca="false">SUMIFS(Cleaned_Data!$K$2:$K$498,Cleaned_Data!$A$2:$A$498,$A70,Cleaned_Data!$J$2:$J$498,"INR",Cleaned_Data!$Q$2:$Q$498,D$18)</f>
        <v>33134</v>
      </c>
      <c r="E70" s="12" t="n">
        <f aca="false">SUMIFS(Cleaned_Data!$K$2:$K$498,Cleaned_Data!$A$2:$A$498,$A70,Cleaned_Data!$J$2:$J$498,"INR",Cleaned_Data!$Q$2:$Q$498,E$18)</f>
        <v>0</v>
      </c>
      <c r="F70" s="12" t="n">
        <f aca="false">SUMIFS(Cleaned_Data!$K$2:$K$498,Cleaned_Data!$A$2:$A$498,$A70,Cleaned_Data!$J$2:$J$498,"INR",Cleaned_Data!$Q$2:$Q$498,F$18)</f>
        <v>117082.86</v>
      </c>
      <c r="G70" s="12" t="n">
        <f aca="false">SUMIFS(Cleaned_Data!$K$2:$K$498,Cleaned_Data!$A$2:$A$498,$A70,Cleaned_Data!$J$2:$J$498,"INR",Cleaned_Data!$Q$2:$Q$498,G$18)</f>
        <v>440726.87</v>
      </c>
      <c r="H70" s="12" t="n">
        <f aca="false">SUMIFS(Cleaned_Data!$K$2:$K$498,Cleaned_Data!$A$2:$A$498,$A70,Cleaned_Data!$J$2:$J$498,"INR",Cleaned_Data!$Q$2:$Q$498,H$18)</f>
        <v>0</v>
      </c>
      <c r="I70" s="12" t="n">
        <f aca="false">SUM(C70:H70)</f>
        <v>954900.88</v>
      </c>
    </row>
    <row r="71" customFormat="false" ht="15" hidden="false" customHeight="false" outlineLevel="0" collapsed="false">
      <c r="A71" s="2" t="s">
        <v>2313</v>
      </c>
      <c r="B71" s="2" t="s">
        <v>2086</v>
      </c>
      <c r="C71" s="12" t="n">
        <f aca="false">SUMIFS(Cleaned_Data!$K$2:$K$498,Cleaned_Data!$A$2:$A$498,$A71,Cleaned_Data!$J$2:$J$498,"INR",Cleaned_Data!$Q$2:$Q$498,C$18)</f>
        <v>482148</v>
      </c>
      <c r="D71" s="12" t="n">
        <f aca="false">SUMIFS(Cleaned_Data!$K$2:$K$498,Cleaned_Data!$A$2:$A$498,$A71,Cleaned_Data!$J$2:$J$498,"INR",Cleaned_Data!$Q$2:$Q$498,D$18)</f>
        <v>14518.18</v>
      </c>
      <c r="E71" s="12" t="n">
        <f aca="false">SUMIFS(Cleaned_Data!$K$2:$K$498,Cleaned_Data!$A$2:$A$498,$A71,Cleaned_Data!$J$2:$J$498,"INR",Cleaned_Data!$Q$2:$Q$498,E$18)</f>
        <v>64471.71</v>
      </c>
      <c r="F71" s="12" t="n">
        <f aca="false">SUMIFS(Cleaned_Data!$K$2:$K$498,Cleaned_Data!$A$2:$A$498,$A71,Cleaned_Data!$J$2:$J$498,"INR",Cleaned_Data!$Q$2:$Q$498,F$18)</f>
        <v>0</v>
      </c>
      <c r="G71" s="12" t="n">
        <f aca="false">SUMIFS(Cleaned_Data!$K$2:$K$498,Cleaned_Data!$A$2:$A$498,$A71,Cleaned_Data!$J$2:$J$498,"INR",Cleaned_Data!$Q$2:$Q$498,G$18)</f>
        <v>114584.17</v>
      </c>
      <c r="H71" s="12" t="n">
        <f aca="false">SUMIFS(Cleaned_Data!$K$2:$K$498,Cleaned_Data!$A$2:$A$498,$A71,Cleaned_Data!$J$2:$J$498,"INR",Cleaned_Data!$Q$2:$Q$498,H$18)</f>
        <v>-71080</v>
      </c>
      <c r="I71" s="12" t="n">
        <f aca="false">SUM(C71:H71)</f>
        <v>604642.06</v>
      </c>
    </row>
    <row r="72" customFormat="false" ht="15" hidden="false" customHeight="false" outlineLevel="0" collapsed="false">
      <c r="A72" s="2" t="s">
        <v>2124</v>
      </c>
      <c r="B72" s="2" t="s">
        <v>2125</v>
      </c>
      <c r="C72" s="12" t="n">
        <f aca="false">SUMIFS(Cleaned_Data!$K$2:$K$498,Cleaned_Data!$A$2:$A$498,$A72,Cleaned_Data!$J$2:$J$498,"INR",Cleaned_Data!$Q$2:$Q$498,C$18)</f>
        <v>22302</v>
      </c>
      <c r="D72" s="12" t="n">
        <f aca="false">SUMIFS(Cleaned_Data!$K$2:$K$498,Cleaned_Data!$A$2:$A$498,$A72,Cleaned_Data!$J$2:$J$498,"INR",Cleaned_Data!$Q$2:$Q$498,D$18)</f>
        <v>99753.83</v>
      </c>
      <c r="E72" s="12" t="n">
        <f aca="false">SUMIFS(Cleaned_Data!$K$2:$K$498,Cleaned_Data!$A$2:$A$498,$A72,Cleaned_Data!$J$2:$J$498,"INR",Cleaned_Data!$Q$2:$Q$498,E$18)</f>
        <v>63130</v>
      </c>
      <c r="F72" s="12" t="n">
        <f aca="false">SUMIFS(Cleaned_Data!$K$2:$K$498,Cleaned_Data!$A$2:$A$498,$A72,Cleaned_Data!$J$2:$J$498,"INR",Cleaned_Data!$Q$2:$Q$498,F$18)</f>
        <v>0</v>
      </c>
      <c r="G72" s="12" t="n">
        <f aca="false">SUMIFS(Cleaned_Data!$K$2:$K$498,Cleaned_Data!$A$2:$A$498,$A72,Cleaned_Data!$J$2:$J$498,"INR",Cleaned_Data!$Q$2:$Q$498,G$18)</f>
        <v>332802.01</v>
      </c>
      <c r="H72" s="12" t="n">
        <f aca="false">SUMIFS(Cleaned_Data!$K$2:$K$498,Cleaned_Data!$A$2:$A$498,$A72,Cleaned_Data!$J$2:$J$498,"INR",Cleaned_Data!$Q$2:$Q$498,H$18)</f>
        <v>32804</v>
      </c>
      <c r="I72" s="12" t="n">
        <f aca="false">SUM(C72:H72)</f>
        <v>550791.84</v>
      </c>
    </row>
    <row r="73" customFormat="false" ht="15" hidden="false" customHeight="false" outlineLevel="0" collapsed="false">
      <c r="A73" s="2" t="s">
        <v>2159</v>
      </c>
      <c r="B73" s="2" t="s">
        <v>2160</v>
      </c>
      <c r="C73" s="12" t="n">
        <f aca="false">SUMIFS(Cleaned_Data!$K$2:$K$498,Cleaned_Data!$A$2:$A$498,$A73,Cleaned_Data!$J$2:$J$498,"INR",Cleaned_Data!$Q$2:$Q$498,C$18)</f>
        <v>84223</v>
      </c>
      <c r="D73" s="12" t="n">
        <f aca="false">SUMIFS(Cleaned_Data!$K$2:$K$498,Cleaned_Data!$A$2:$A$498,$A73,Cleaned_Data!$J$2:$J$498,"INR",Cleaned_Data!$Q$2:$Q$498,D$18)</f>
        <v>16859.8</v>
      </c>
      <c r="E73" s="12" t="n">
        <f aca="false">SUMIFS(Cleaned_Data!$K$2:$K$498,Cleaned_Data!$A$2:$A$498,$A73,Cleaned_Data!$J$2:$J$498,"INR",Cleaned_Data!$Q$2:$Q$498,E$18)</f>
        <v>0</v>
      </c>
      <c r="F73" s="12" t="n">
        <f aca="false">SUMIFS(Cleaned_Data!$K$2:$K$498,Cleaned_Data!$A$2:$A$498,$A73,Cleaned_Data!$J$2:$J$498,"INR",Cleaned_Data!$Q$2:$Q$498,F$18)</f>
        <v>0</v>
      </c>
      <c r="G73" s="12" t="n">
        <f aca="false">SUMIFS(Cleaned_Data!$K$2:$K$498,Cleaned_Data!$A$2:$A$498,$A73,Cleaned_Data!$J$2:$J$498,"INR",Cleaned_Data!$Q$2:$Q$498,G$18)</f>
        <v>0</v>
      </c>
      <c r="H73" s="12" t="n">
        <f aca="false">SUMIFS(Cleaned_Data!$K$2:$K$498,Cleaned_Data!$A$2:$A$498,$A73,Cleaned_Data!$J$2:$J$498,"INR",Cleaned_Data!$Q$2:$Q$498,H$18)</f>
        <v>0</v>
      </c>
      <c r="I73" s="12" t="n">
        <f aca="false">SUM(C73:H73)</f>
        <v>101082.8</v>
      </c>
    </row>
    <row r="74" customFormat="false" ht="15" hidden="false" customHeight="false" outlineLevel="0" collapsed="false">
      <c r="A74" s="3" t="s">
        <v>2487</v>
      </c>
      <c r="B74" s="2"/>
      <c r="C74" s="14" t="n">
        <f aca="false">SUM(C19:C73)</f>
        <v>17475655.67</v>
      </c>
      <c r="D74" s="14" t="n">
        <f aca="false">SUM(D19:D73)</f>
        <v>6971835.11</v>
      </c>
      <c r="E74" s="14" t="n">
        <f aca="false">SUM(E19:E73)</f>
        <v>4532542.13</v>
      </c>
      <c r="F74" s="14" t="n">
        <f aca="false">SUM(F19:F73)</f>
        <v>3693329</v>
      </c>
      <c r="G74" s="14" t="n">
        <f aca="false">SUM(G19:G73)</f>
        <v>7143316.71</v>
      </c>
      <c r="H74" s="14" t="n">
        <f aca="false">SUM(H19:H73)</f>
        <v>5245953.68</v>
      </c>
      <c r="I74" s="14" t="n">
        <f aca="false">SUM(I19:I73)</f>
        <v>45062632.3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8" t="s">
        <v>2178</v>
      </c>
      <c r="B1" s="8" t="s">
        <v>2179</v>
      </c>
      <c r="C1" s="8" t="s">
        <v>2180</v>
      </c>
      <c r="D1" s="8" t="s">
        <v>2181</v>
      </c>
      <c r="E1" s="8" t="s">
        <v>2493</v>
      </c>
    </row>
    <row r="2" customFormat="false" ht="15" hidden="false" customHeight="false" outlineLevel="0" collapsed="false">
      <c r="A2" s="2" t="s">
        <v>2194</v>
      </c>
      <c r="B2" s="2" t="s">
        <v>35</v>
      </c>
      <c r="C2" s="2" t="s">
        <v>2195</v>
      </c>
      <c r="D2" s="2" t="s">
        <v>2196</v>
      </c>
      <c r="E2" s="2" t="n">
        <v>30</v>
      </c>
    </row>
    <row r="3" customFormat="false" ht="15" hidden="false" customHeight="false" outlineLevel="0" collapsed="false">
      <c r="A3" s="2" t="s">
        <v>126</v>
      </c>
      <c r="B3" s="2" t="s">
        <v>127</v>
      </c>
      <c r="C3" s="2" t="s">
        <v>2210</v>
      </c>
      <c r="D3" s="2" t="s">
        <v>2211</v>
      </c>
      <c r="E3" s="2" t="n">
        <v>30</v>
      </c>
    </row>
    <row r="4" customFormat="false" ht="15" hidden="false" customHeight="false" outlineLevel="0" collapsed="false">
      <c r="A4" s="2" t="s">
        <v>140</v>
      </c>
      <c r="B4" s="2" t="s">
        <v>141</v>
      </c>
      <c r="C4" s="2" t="s">
        <v>2213</v>
      </c>
      <c r="D4" s="2" t="s">
        <v>2211</v>
      </c>
      <c r="E4" s="2" t="n">
        <v>15</v>
      </c>
    </row>
    <row r="5" customFormat="false" ht="15" hidden="false" customHeight="false" outlineLevel="0" collapsed="false">
      <c r="A5" s="2" t="s">
        <v>155</v>
      </c>
      <c r="B5" s="2" t="s">
        <v>156</v>
      </c>
      <c r="C5" s="2" t="s">
        <v>2214</v>
      </c>
      <c r="D5" s="2" t="s">
        <v>2215</v>
      </c>
      <c r="E5" s="2" t="n">
        <v>45</v>
      </c>
    </row>
    <row r="6" customFormat="false" ht="15" hidden="false" customHeight="false" outlineLevel="0" collapsed="false">
      <c r="A6" s="2" t="s">
        <v>253</v>
      </c>
      <c r="B6" s="2" t="s">
        <v>254</v>
      </c>
      <c r="C6" s="2" t="s">
        <v>2213</v>
      </c>
      <c r="D6" s="2" t="s">
        <v>2215</v>
      </c>
      <c r="E6" s="2" t="n">
        <v>45</v>
      </c>
    </row>
    <row r="7" customFormat="false" ht="15" hidden="false" customHeight="false" outlineLevel="0" collapsed="false">
      <c r="A7" s="2" t="s">
        <v>2219</v>
      </c>
      <c r="B7" s="2" t="s">
        <v>310</v>
      </c>
      <c r="C7" s="2" t="s">
        <v>2220</v>
      </c>
      <c r="D7" s="2" t="s">
        <v>2211</v>
      </c>
      <c r="E7" s="2" t="n">
        <v>30</v>
      </c>
    </row>
    <row r="8" customFormat="false" ht="15" hidden="false" customHeight="false" outlineLevel="0" collapsed="false">
      <c r="A8" s="2" t="s">
        <v>361</v>
      </c>
      <c r="B8" s="2" t="s">
        <v>362</v>
      </c>
      <c r="C8" s="2" t="s">
        <v>2220</v>
      </c>
      <c r="D8" s="2" t="s">
        <v>2224</v>
      </c>
      <c r="E8" s="2" t="n">
        <v>30</v>
      </c>
    </row>
    <row r="9" customFormat="false" ht="15" hidden="false" customHeight="false" outlineLevel="0" collapsed="false">
      <c r="A9" s="2" t="s">
        <v>411</v>
      </c>
      <c r="B9" s="2" t="s">
        <v>412</v>
      </c>
      <c r="C9" s="2" t="s">
        <v>2226</v>
      </c>
      <c r="D9" s="2" t="s">
        <v>2227</v>
      </c>
      <c r="E9" s="2" t="n">
        <v>60</v>
      </c>
    </row>
    <row r="10" customFormat="false" ht="15" hidden="false" customHeight="false" outlineLevel="0" collapsed="false">
      <c r="A10" s="2" t="s">
        <v>464</v>
      </c>
      <c r="B10" s="2" t="s">
        <v>2228</v>
      </c>
      <c r="C10" s="2" t="s">
        <v>2229</v>
      </c>
      <c r="D10" s="2" t="s">
        <v>2215</v>
      </c>
      <c r="E10" s="2" t="n">
        <v>60</v>
      </c>
    </row>
    <row r="11" customFormat="false" ht="15" hidden="false" customHeight="false" outlineLevel="0" collapsed="false">
      <c r="A11" s="2" t="s">
        <v>492</v>
      </c>
      <c r="B11" s="2" t="s">
        <v>493</v>
      </c>
      <c r="C11" s="2" t="s">
        <v>2220</v>
      </c>
      <c r="D11" s="2" t="s">
        <v>2211</v>
      </c>
      <c r="E11" s="2" t="n">
        <v>30</v>
      </c>
    </row>
    <row r="12" customFormat="false" ht="15" hidden="false" customHeight="false" outlineLevel="0" collapsed="false">
      <c r="A12" s="2" t="s">
        <v>515</v>
      </c>
      <c r="B12" s="2" t="s">
        <v>516</v>
      </c>
      <c r="C12" s="2" t="s">
        <v>2195</v>
      </c>
      <c r="D12" s="2" t="s">
        <v>2224</v>
      </c>
      <c r="E12" s="2" t="n">
        <v>45</v>
      </c>
    </row>
    <row r="13" customFormat="false" ht="15" hidden="false" customHeight="false" outlineLevel="0" collapsed="false">
      <c r="A13" s="2" t="s">
        <v>565</v>
      </c>
      <c r="B13" s="2" t="s">
        <v>2232</v>
      </c>
      <c r="C13" s="2" t="s">
        <v>2213</v>
      </c>
      <c r="D13" s="2" t="s">
        <v>2227</v>
      </c>
      <c r="E13" s="2" t="n">
        <v>45</v>
      </c>
    </row>
    <row r="14" customFormat="false" ht="15" hidden="false" customHeight="false" outlineLevel="0" collapsed="false">
      <c r="A14" s="2" t="s">
        <v>612</v>
      </c>
      <c r="B14" s="2" t="s">
        <v>613</v>
      </c>
      <c r="C14" s="2" t="s">
        <v>2213</v>
      </c>
      <c r="D14" s="2" t="s">
        <v>2215</v>
      </c>
      <c r="E14" s="2" t="n">
        <v>30</v>
      </c>
    </row>
    <row r="15" customFormat="false" ht="15" hidden="false" customHeight="false" outlineLevel="0" collapsed="false">
      <c r="A15" s="2" t="s">
        <v>626</v>
      </c>
      <c r="B15" s="2" t="s">
        <v>2235</v>
      </c>
      <c r="C15" s="2" t="s">
        <v>2210</v>
      </c>
      <c r="D15" s="2" t="s">
        <v>2211</v>
      </c>
      <c r="E15" s="2" t="n">
        <v>30</v>
      </c>
    </row>
    <row r="16" customFormat="false" ht="15" hidden="false" customHeight="false" outlineLevel="0" collapsed="false">
      <c r="A16" s="2" t="s">
        <v>672</v>
      </c>
      <c r="B16" s="2" t="s">
        <v>673</v>
      </c>
      <c r="C16" s="2" t="s">
        <v>2213</v>
      </c>
      <c r="D16" s="2" t="s">
        <v>2215</v>
      </c>
      <c r="E16" s="2" t="n">
        <v>30</v>
      </c>
    </row>
    <row r="17" customFormat="false" ht="15" hidden="false" customHeight="false" outlineLevel="0" collapsed="false">
      <c r="A17" s="2" t="s">
        <v>713</v>
      </c>
      <c r="B17" s="2" t="s">
        <v>714</v>
      </c>
      <c r="C17" s="2" t="s">
        <v>2220</v>
      </c>
      <c r="D17" s="2" t="s">
        <v>2215</v>
      </c>
      <c r="E17" s="2" t="n">
        <v>30</v>
      </c>
    </row>
    <row r="18" customFormat="false" ht="15" hidden="false" customHeight="false" outlineLevel="0" collapsed="false">
      <c r="A18" s="2" t="s">
        <v>757</v>
      </c>
      <c r="B18" s="2" t="s">
        <v>758</v>
      </c>
      <c r="C18" s="2" t="s">
        <v>2213</v>
      </c>
      <c r="D18" s="2" t="s">
        <v>2215</v>
      </c>
      <c r="E18" s="2" t="n">
        <v>30</v>
      </c>
    </row>
    <row r="19" customFormat="false" ht="15" hidden="false" customHeight="false" outlineLevel="0" collapsed="false">
      <c r="A19" s="2" t="s">
        <v>769</v>
      </c>
      <c r="B19" s="2" t="s">
        <v>2242</v>
      </c>
      <c r="C19" s="2" t="s">
        <v>2213</v>
      </c>
      <c r="D19" s="2" t="s">
        <v>2227</v>
      </c>
      <c r="E19" s="2" t="n">
        <v>45</v>
      </c>
    </row>
    <row r="20" customFormat="false" ht="15" hidden="false" customHeight="false" outlineLevel="0" collapsed="false">
      <c r="A20" s="2" t="s">
        <v>2243</v>
      </c>
      <c r="B20" s="2" t="s">
        <v>787</v>
      </c>
      <c r="C20" s="2" t="s">
        <v>2214</v>
      </c>
      <c r="D20" s="2" t="s">
        <v>2244</v>
      </c>
      <c r="E20" s="2" t="n">
        <v>60</v>
      </c>
    </row>
    <row r="21" customFormat="false" ht="15" hidden="false" customHeight="false" outlineLevel="0" collapsed="false">
      <c r="A21" s="2" t="s">
        <v>881</v>
      </c>
      <c r="B21" s="2" t="s">
        <v>882</v>
      </c>
      <c r="C21" s="2" t="s">
        <v>2195</v>
      </c>
      <c r="D21" s="2" t="s">
        <v>2211</v>
      </c>
      <c r="E21" s="2" t="n">
        <v>30</v>
      </c>
    </row>
    <row r="22" customFormat="false" ht="15" hidden="false" customHeight="false" outlineLevel="0" collapsed="false">
      <c r="A22" s="2" t="s">
        <v>887</v>
      </c>
      <c r="B22" s="2" t="s">
        <v>2248</v>
      </c>
      <c r="C22" s="2" t="s">
        <v>2210</v>
      </c>
      <c r="D22" s="2" t="s">
        <v>2215</v>
      </c>
      <c r="E22" s="2" t="n">
        <v>60</v>
      </c>
    </row>
    <row r="23" customFormat="false" ht="15" hidden="false" customHeight="false" outlineLevel="0" collapsed="false">
      <c r="A23" s="2" t="s">
        <v>928</v>
      </c>
      <c r="B23" s="2" t="s">
        <v>929</v>
      </c>
      <c r="C23" s="2" t="s">
        <v>2213</v>
      </c>
      <c r="D23" s="2" t="s">
        <v>2250</v>
      </c>
      <c r="E23" s="2" t="n">
        <v>45</v>
      </c>
    </row>
    <row r="24" customFormat="false" ht="15" hidden="false" customHeight="false" outlineLevel="0" collapsed="false">
      <c r="A24" s="2" t="s">
        <v>976</v>
      </c>
      <c r="B24" s="2" t="s">
        <v>977</v>
      </c>
      <c r="C24" s="2" t="s">
        <v>2210</v>
      </c>
      <c r="D24" s="2" t="s">
        <v>2196</v>
      </c>
      <c r="E24" s="2" t="n">
        <v>30</v>
      </c>
    </row>
    <row r="25" customFormat="false" ht="15" hidden="false" customHeight="false" outlineLevel="0" collapsed="false">
      <c r="A25" s="2" t="s">
        <v>2258</v>
      </c>
      <c r="B25" s="2" t="s">
        <v>1021</v>
      </c>
      <c r="C25" s="2" t="s">
        <v>2214</v>
      </c>
      <c r="D25" s="2" t="s">
        <v>2211</v>
      </c>
      <c r="E25" s="2" t="n">
        <v>30</v>
      </c>
    </row>
    <row r="26" customFormat="false" ht="15" hidden="false" customHeight="false" outlineLevel="0" collapsed="false">
      <c r="A26" s="2" t="s">
        <v>1045</v>
      </c>
      <c r="B26" s="2" t="s">
        <v>1046</v>
      </c>
      <c r="C26" s="2" t="s">
        <v>2213</v>
      </c>
      <c r="D26" s="2" t="s">
        <v>2196</v>
      </c>
      <c r="E26" s="2" t="n">
        <v>30</v>
      </c>
    </row>
    <row r="27" customFormat="false" ht="15" hidden="false" customHeight="false" outlineLevel="0" collapsed="false">
      <c r="A27" s="2" t="s">
        <v>2263</v>
      </c>
      <c r="B27" s="2" t="s">
        <v>2264</v>
      </c>
      <c r="C27" s="2" t="s">
        <v>2210</v>
      </c>
      <c r="D27" s="2" t="s">
        <v>2224</v>
      </c>
      <c r="E27" s="2" t="n">
        <v>30</v>
      </c>
    </row>
    <row r="28" customFormat="false" ht="15" hidden="false" customHeight="false" outlineLevel="0" collapsed="false">
      <c r="A28" s="2" t="s">
        <v>1132</v>
      </c>
      <c r="B28" s="2" t="s">
        <v>1133</v>
      </c>
      <c r="C28" s="2" t="s">
        <v>2213</v>
      </c>
      <c r="D28" s="2" t="s">
        <v>2227</v>
      </c>
      <c r="E28" s="2" t="n">
        <v>15</v>
      </c>
    </row>
    <row r="29" customFormat="false" ht="15" hidden="false" customHeight="false" outlineLevel="0" collapsed="false">
      <c r="A29" s="2" t="s">
        <v>2267</v>
      </c>
      <c r="B29" s="2" t="s">
        <v>1148</v>
      </c>
      <c r="C29" s="2" t="s">
        <v>2213</v>
      </c>
      <c r="D29" s="2" t="s">
        <v>2250</v>
      </c>
      <c r="E29" s="2" t="n">
        <v>30</v>
      </c>
    </row>
    <row r="30" customFormat="false" ht="15" hidden="false" customHeight="false" outlineLevel="0" collapsed="false">
      <c r="A30" s="2" t="s">
        <v>1166</v>
      </c>
      <c r="B30" s="2" t="s">
        <v>2269</v>
      </c>
      <c r="C30" s="2" t="s">
        <v>2213</v>
      </c>
      <c r="D30" s="2" t="s">
        <v>2224</v>
      </c>
      <c r="E30" s="2" t="n">
        <v>30</v>
      </c>
    </row>
    <row r="31" customFormat="false" ht="15" hidden="false" customHeight="false" outlineLevel="0" collapsed="false">
      <c r="A31" s="2" t="s">
        <v>1192</v>
      </c>
      <c r="B31" s="2" t="s">
        <v>1193</v>
      </c>
      <c r="C31" s="2" t="s">
        <v>2210</v>
      </c>
      <c r="D31" s="2" t="s">
        <v>2211</v>
      </c>
      <c r="E31" s="2" t="n">
        <v>15</v>
      </c>
    </row>
    <row r="32" customFormat="false" ht="15" hidden="false" customHeight="false" outlineLevel="0" collapsed="false">
      <c r="A32" s="2" t="s">
        <v>1211</v>
      </c>
      <c r="B32" s="2" t="s">
        <v>1212</v>
      </c>
      <c r="C32" s="2" t="s">
        <v>2213</v>
      </c>
      <c r="D32" s="2" t="s">
        <v>2215</v>
      </c>
      <c r="E32" s="2" t="n">
        <v>30</v>
      </c>
    </row>
    <row r="33" customFormat="false" ht="15" hidden="false" customHeight="false" outlineLevel="0" collapsed="false">
      <c r="A33" s="2" t="s">
        <v>2270</v>
      </c>
      <c r="B33" s="2" t="s">
        <v>2271</v>
      </c>
      <c r="C33" s="2" t="s">
        <v>2214</v>
      </c>
      <c r="D33" s="2" t="s">
        <v>2211</v>
      </c>
      <c r="E33" s="2" t="n">
        <v>15</v>
      </c>
    </row>
    <row r="34" customFormat="false" ht="15" hidden="false" customHeight="false" outlineLevel="0" collapsed="false">
      <c r="A34" s="2" t="s">
        <v>1341</v>
      </c>
      <c r="B34" s="2" t="s">
        <v>1342</v>
      </c>
      <c r="C34" s="2" t="s">
        <v>2220</v>
      </c>
      <c r="D34" s="2" t="s">
        <v>2227</v>
      </c>
      <c r="E34" s="2" t="n">
        <v>30</v>
      </c>
    </row>
    <row r="35" customFormat="false" ht="15" hidden="false" customHeight="false" outlineLevel="0" collapsed="false">
      <c r="A35" s="2" t="s">
        <v>1371</v>
      </c>
      <c r="B35" s="2" t="s">
        <v>1372</v>
      </c>
      <c r="C35" s="2" t="s">
        <v>2273</v>
      </c>
      <c r="D35" s="2" t="s">
        <v>2250</v>
      </c>
      <c r="E35" s="2" t="n">
        <v>45</v>
      </c>
    </row>
    <row r="36" customFormat="false" ht="15" hidden="false" customHeight="false" outlineLevel="0" collapsed="false">
      <c r="A36" s="2" t="s">
        <v>1396</v>
      </c>
      <c r="B36" s="2" t="s">
        <v>1397</v>
      </c>
      <c r="C36" s="2" t="s">
        <v>2229</v>
      </c>
      <c r="D36" s="2" t="s">
        <v>2275</v>
      </c>
      <c r="E36" s="2" t="n">
        <v>45</v>
      </c>
    </row>
    <row r="37" customFormat="false" ht="15" hidden="false" customHeight="false" outlineLevel="0" collapsed="false">
      <c r="A37" s="2" t="s">
        <v>2280</v>
      </c>
      <c r="B37" s="2" t="s">
        <v>2281</v>
      </c>
      <c r="C37" s="2" t="s">
        <v>2213</v>
      </c>
      <c r="D37" s="2" t="s">
        <v>2196</v>
      </c>
      <c r="E37" s="2" t="n">
        <v>60</v>
      </c>
    </row>
    <row r="38" customFormat="false" ht="15" hidden="false" customHeight="false" outlineLevel="0" collapsed="false">
      <c r="A38" s="2" t="s">
        <v>2284</v>
      </c>
      <c r="B38" s="2" t="s">
        <v>2285</v>
      </c>
      <c r="C38" s="2" t="s">
        <v>2229</v>
      </c>
      <c r="D38" s="2" t="s">
        <v>2275</v>
      </c>
      <c r="E38" s="2" t="n">
        <v>45</v>
      </c>
    </row>
    <row r="39" customFormat="false" ht="15" hidden="false" customHeight="false" outlineLevel="0" collapsed="false">
      <c r="A39" s="2" t="s">
        <v>1546</v>
      </c>
      <c r="B39" s="2" t="s">
        <v>2287</v>
      </c>
      <c r="C39" s="2" t="s">
        <v>2229</v>
      </c>
      <c r="D39" s="2" t="s">
        <v>2250</v>
      </c>
      <c r="E39" s="2" t="n">
        <v>30</v>
      </c>
    </row>
    <row r="40" customFormat="false" ht="15" hidden="false" customHeight="false" outlineLevel="0" collapsed="false">
      <c r="A40" s="2" t="s">
        <v>1562</v>
      </c>
      <c r="B40" s="2" t="s">
        <v>1563</v>
      </c>
      <c r="C40" s="2" t="s">
        <v>2220</v>
      </c>
      <c r="D40" s="2" t="s">
        <v>2275</v>
      </c>
      <c r="E40" s="2" t="n">
        <v>30</v>
      </c>
    </row>
    <row r="41" customFormat="false" ht="15" hidden="false" customHeight="false" outlineLevel="0" collapsed="false">
      <c r="A41" s="2" t="s">
        <v>1649</v>
      </c>
      <c r="B41" s="2" t="s">
        <v>2293</v>
      </c>
      <c r="C41" s="2" t="s">
        <v>2210</v>
      </c>
      <c r="D41" s="2" t="s">
        <v>2215</v>
      </c>
      <c r="E41" s="2" t="n">
        <v>45</v>
      </c>
    </row>
    <row r="42" customFormat="false" ht="15" hidden="false" customHeight="false" outlineLevel="0" collapsed="false">
      <c r="A42" s="2" t="s">
        <v>1660</v>
      </c>
      <c r="B42" s="2" t="s">
        <v>1661</v>
      </c>
      <c r="C42" s="2" t="s">
        <v>2220</v>
      </c>
      <c r="D42" s="2" t="s">
        <v>2224</v>
      </c>
      <c r="E42" s="2" t="n">
        <v>45</v>
      </c>
    </row>
    <row r="43" customFormat="false" ht="15" hidden="false" customHeight="false" outlineLevel="0" collapsed="false">
      <c r="A43" s="2" t="s">
        <v>2294</v>
      </c>
      <c r="B43" s="2" t="s">
        <v>1673</v>
      </c>
      <c r="C43" s="2" t="s">
        <v>2210</v>
      </c>
      <c r="D43" s="2" t="s">
        <v>2227</v>
      </c>
      <c r="E43" s="2" t="n">
        <v>45</v>
      </c>
    </row>
    <row r="44" customFormat="false" ht="15" hidden="false" customHeight="false" outlineLevel="0" collapsed="false">
      <c r="A44" s="2" t="s">
        <v>1698</v>
      </c>
      <c r="B44" s="2" t="s">
        <v>1699</v>
      </c>
      <c r="C44" s="2" t="s">
        <v>2214</v>
      </c>
      <c r="D44" s="2" t="s">
        <v>2250</v>
      </c>
      <c r="E44" s="2" t="n">
        <v>60</v>
      </c>
    </row>
    <row r="45" customFormat="false" ht="15" hidden="false" customHeight="false" outlineLevel="0" collapsed="false">
      <c r="A45" s="2" t="s">
        <v>1730</v>
      </c>
      <c r="B45" s="2" t="s">
        <v>1731</v>
      </c>
      <c r="C45" s="2" t="s">
        <v>2298</v>
      </c>
      <c r="D45" s="2" t="s">
        <v>2215</v>
      </c>
      <c r="E45" s="2" t="n">
        <v>60</v>
      </c>
    </row>
    <row r="46" customFormat="false" ht="15" hidden="false" customHeight="false" outlineLevel="0" collapsed="false">
      <c r="A46" s="2" t="s">
        <v>1747</v>
      </c>
      <c r="B46" s="2" t="s">
        <v>1748</v>
      </c>
      <c r="C46" s="2" t="s">
        <v>2220</v>
      </c>
      <c r="D46" s="2" t="s">
        <v>2215</v>
      </c>
      <c r="E46" s="2" t="n">
        <v>60</v>
      </c>
    </row>
    <row r="47" customFormat="false" ht="15" hidden="false" customHeight="false" outlineLevel="0" collapsed="false">
      <c r="A47" s="2" t="s">
        <v>2300</v>
      </c>
      <c r="B47" s="2" t="s">
        <v>2301</v>
      </c>
      <c r="C47" s="2" t="s">
        <v>2226</v>
      </c>
      <c r="D47" s="2" t="s">
        <v>2215</v>
      </c>
      <c r="E47" s="2" t="n">
        <v>45</v>
      </c>
    </row>
    <row r="48" customFormat="false" ht="15" hidden="false" customHeight="false" outlineLevel="0" collapsed="false">
      <c r="A48" s="2" t="s">
        <v>1833</v>
      </c>
      <c r="B48" s="2" t="s">
        <v>2303</v>
      </c>
      <c r="C48" s="2" t="s">
        <v>2226</v>
      </c>
      <c r="D48" s="2" t="s">
        <v>2211</v>
      </c>
      <c r="E48" s="2" t="n">
        <v>30</v>
      </c>
    </row>
    <row r="49" customFormat="false" ht="15" hidden="false" customHeight="false" outlineLevel="0" collapsed="false">
      <c r="A49" s="2" t="s">
        <v>2304</v>
      </c>
      <c r="B49" s="2" t="s">
        <v>1859</v>
      </c>
      <c r="C49" s="2" t="s">
        <v>2195</v>
      </c>
      <c r="D49" s="2" t="s">
        <v>2215</v>
      </c>
      <c r="E49" s="2" t="n">
        <v>45</v>
      </c>
    </row>
    <row r="50" customFormat="false" ht="15" hidden="false" customHeight="false" outlineLevel="0" collapsed="false">
      <c r="A50" s="2" t="s">
        <v>1874</v>
      </c>
      <c r="B50" s="2" t="s">
        <v>2305</v>
      </c>
      <c r="C50" s="2" t="s">
        <v>2226</v>
      </c>
      <c r="D50" s="2" t="s">
        <v>2211</v>
      </c>
      <c r="E50" s="2" t="n">
        <v>60</v>
      </c>
    </row>
    <row r="51" customFormat="false" ht="15" hidden="false" customHeight="false" outlineLevel="0" collapsed="false">
      <c r="A51" s="2" t="s">
        <v>1893</v>
      </c>
      <c r="B51" s="2" t="s">
        <v>1894</v>
      </c>
      <c r="C51" s="2" t="s">
        <v>2220</v>
      </c>
      <c r="D51" s="2" t="s">
        <v>2224</v>
      </c>
      <c r="E51" s="2" t="n">
        <v>30</v>
      </c>
    </row>
    <row r="52" customFormat="false" ht="15" hidden="false" customHeight="false" outlineLevel="0" collapsed="false">
      <c r="A52" s="2" t="s">
        <v>1936</v>
      </c>
      <c r="B52" s="2" t="s">
        <v>1937</v>
      </c>
      <c r="C52" s="2" t="s">
        <v>2229</v>
      </c>
      <c r="D52" s="2" t="s">
        <v>2215</v>
      </c>
      <c r="E52" s="2" t="n">
        <v>45</v>
      </c>
    </row>
    <row r="53" customFormat="false" ht="15" hidden="false" customHeight="false" outlineLevel="0" collapsed="false">
      <c r="A53" s="2" t="s">
        <v>1954</v>
      </c>
      <c r="B53" s="2" t="s">
        <v>1955</v>
      </c>
      <c r="C53" s="2" t="s">
        <v>2213</v>
      </c>
      <c r="D53" s="2" t="s">
        <v>2215</v>
      </c>
      <c r="E53" s="2" t="n">
        <v>45</v>
      </c>
    </row>
    <row r="54" customFormat="false" ht="15" hidden="false" customHeight="false" outlineLevel="0" collapsed="false">
      <c r="A54" s="2" t="s">
        <v>1983</v>
      </c>
      <c r="B54" s="2" t="s">
        <v>2309</v>
      </c>
      <c r="C54" s="2" t="s">
        <v>2298</v>
      </c>
      <c r="D54" s="2" t="s">
        <v>2227</v>
      </c>
      <c r="E54" s="2" t="n">
        <v>45</v>
      </c>
    </row>
    <row r="55" customFormat="false" ht="15" hidden="false" customHeight="false" outlineLevel="0" collapsed="false">
      <c r="A55" s="2" t="s">
        <v>2042</v>
      </c>
      <c r="B55" s="2" t="s">
        <v>2006</v>
      </c>
      <c r="C55" s="2" t="s">
        <v>2210</v>
      </c>
      <c r="D55" s="2" t="s">
        <v>2215</v>
      </c>
      <c r="E55" s="2" t="n">
        <v>60</v>
      </c>
    </row>
    <row r="56" customFormat="false" ht="15" hidden="false" customHeight="false" outlineLevel="0" collapsed="false">
      <c r="A56" s="2" t="s">
        <v>2047</v>
      </c>
      <c r="B56" s="2" t="s">
        <v>2048</v>
      </c>
      <c r="C56" s="2" t="s">
        <v>2220</v>
      </c>
      <c r="D56" s="2" t="s">
        <v>2227</v>
      </c>
      <c r="E56" s="2" t="n">
        <v>45</v>
      </c>
    </row>
    <row r="57" customFormat="false" ht="15" hidden="false" customHeight="false" outlineLevel="0" collapsed="false">
      <c r="A57" s="2" t="s">
        <v>2124</v>
      </c>
      <c r="B57" s="2" t="s">
        <v>2125</v>
      </c>
      <c r="C57" s="2" t="s">
        <v>2229</v>
      </c>
      <c r="D57" s="2" t="s">
        <v>2244</v>
      </c>
      <c r="E57" s="2" t="n">
        <v>60</v>
      </c>
    </row>
    <row r="58" customFormat="false" ht="15" hidden="false" customHeight="false" outlineLevel="0" collapsed="false">
      <c r="A58" s="2" t="s">
        <v>2159</v>
      </c>
      <c r="B58" s="2" t="s">
        <v>2160</v>
      </c>
      <c r="C58" s="2" t="s">
        <v>2220</v>
      </c>
      <c r="D58" s="2" t="s">
        <v>2275</v>
      </c>
      <c r="E58" s="2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</cols>
  <sheetData>
    <row r="1" customFormat="false" ht="15" hidden="false" customHeight="false" outlineLevel="0" collapsed="false">
      <c r="A1" s="8" t="s">
        <v>2494</v>
      </c>
      <c r="B1" s="8" t="s">
        <v>2188</v>
      </c>
      <c r="D1" s="2" t="s">
        <v>2495</v>
      </c>
    </row>
    <row r="2" customFormat="false" ht="15" hidden="false" customHeight="false" outlineLevel="0" collapsed="false">
      <c r="A2" s="2" t="s">
        <v>2496</v>
      </c>
      <c r="B2" s="2" t="s">
        <v>43</v>
      </c>
    </row>
    <row r="3" customFormat="false" ht="15" hidden="false" customHeight="false" outlineLevel="0" collapsed="false">
      <c r="A3" s="2" t="s">
        <v>2497</v>
      </c>
      <c r="B3" s="2" t="s">
        <v>43</v>
      </c>
    </row>
    <row r="4" customFormat="false" ht="15" hidden="false" customHeight="false" outlineLevel="0" collapsed="false">
      <c r="A4" s="2" t="s">
        <v>2498</v>
      </c>
      <c r="B4" s="2" t="s">
        <v>43</v>
      </c>
    </row>
    <row r="5" customFormat="false" ht="15" hidden="false" customHeight="false" outlineLevel="0" collapsed="false">
      <c r="A5" s="2" t="s">
        <v>321</v>
      </c>
      <c r="B5" s="2" t="s">
        <v>137</v>
      </c>
    </row>
    <row r="6" customFormat="false" ht="15" hidden="false" customHeight="false" outlineLevel="0" collapsed="false">
      <c r="A6" s="2" t="s">
        <v>2499</v>
      </c>
      <c r="B6" s="2" t="s">
        <v>137</v>
      </c>
    </row>
    <row r="7" customFormat="false" ht="15" hidden="false" customHeight="false" outlineLevel="0" collapsed="false">
      <c r="A7" s="2" t="s">
        <v>2500</v>
      </c>
      <c r="B7" s="2" t="s">
        <v>137</v>
      </c>
    </row>
    <row r="8" customFormat="false" ht="15" hidden="false" customHeight="false" outlineLevel="0" collapsed="false">
      <c r="A8" s="2" t="s">
        <v>2501</v>
      </c>
      <c r="B8" s="2" t="s">
        <v>137</v>
      </c>
    </row>
    <row r="9" customFormat="false" ht="15" hidden="false" customHeight="false" outlineLevel="0" collapsed="false">
      <c r="A9" s="2" t="s">
        <v>489</v>
      </c>
      <c r="B9" s="2" t="s">
        <v>502</v>
      </c>
    </row>
    <row r="10" customFormat="false" ht="15" hidden="false" customHeight="false" outlineLevel="0" collapsed="false">
      <c r="A10" s="2" t="s">
        <v>2502</v>
      </c>
      <c r="B10" s="2" t="s">
        <v>502</v>
      </c>
    </row>
    <row r="11" customFormat="false" ht="15" hidden="false" customHeight="false" outlineLevel="0" collapsed="false">
      <c r="A11" s="2" t="s">
        <v>2503</v>
      </c>
      <c r="B11" s="2" t="s">
        <v>502</v>
      </c>
    </row>
    <row r="12" customFormat="false" ht="15" hidden="false" customHeight="false" outlineLevel="0" collapsed="false">
      <c r="A12" s="2" t="s">
        <v>2504</v>
      </c>
      <c r="B12" s="2" t="s">
        <v>502</v>
      </c>
    </row>
    <row r="13" customFormat="false" ht="15" hidden="false" customHeight="false" outlineLevel="0" collapsed="false">
      <c r="A13" s="2" t="s">
        <v>2505</v>
      </c>
      <c r="B13" s="2" t="s">
        <v>571</v>
      </c>
    </row>
    <row r="14" customFormat="false" ht="15" hidden="false" customHeight="false" outlineLevel="0" collapsed="false">
      <c r="A14" s="2" t="s">
        <v>775</v>
      </c>
      <c r="B14" s="2" t="s">
        <v>571</v>
      </c>
    </row>
    <row r="15" customFormat="false" ht="15" hidden="false" customHeight="false" outlineLevel="0" collapsed="false">
      <c r="A15" s="2" t="s">
        <v>2506</v>
      </c>
      <c r="B15" s="2" t="s">
        <v>571</v>
      </c>
    </row>
    <row r="16" customFormat="false" ht="15" hidden="false" customHeight="false" outlineLevel="0" collapsed="false">
      <c r="A16" s="2" t="s">
        <v>2507</v>
      </c>
      <c r="B16" s="2" t="s">
        <v>571</v>
      </c>
    </row>
    <row r="17" customFormat="false" ht="15" hidden="false" customHeight="false" outlineLevel="0" collapsed="false">
      <c r="A17" s="2" t="s">
        <v>2508</v>
      </c>
      <c r="B17" s="2" t="s">
        <v>1596</v>
      </c>
    </row>
    <row r="18" customFormat="false" ht="15" hidden="false" customHeight="false" outlineLevel="0" collapsed="false">
      <c r="A18" s="2" t="s">
        <v>2509</v>
      </c>
      <c r="B18" s="2" t="s">
        <v>1596</v>
      </c>
    </row>
    <row r="19" customFormat="false" ht="15" hidden="false" customHeight="false" outlineLevel="0" collapsed="false">
      <c r="A19" s="2" t="s">
        <v>2510</v>
      </c>
      <c r="B19" s="2" t="s">
        <v>1596</v>
      </c>
    </row>
    <row r="20" customFormat="false" ht="15" hidden="false" customHeight="false" outlineLevel="0" collapsed="false">
      <c r="A20" s="2" t="s">
        <v>2511</v>
      </c>
      <c r="B20" s="2" t="s">
        <v>1596</v>
      </c>
    </row>
    <row r="21" customFormat="false" ht="15" hidden="false" customHeight="false" outlineLevel="0" collapsed="false">
      <c r="A21" s="2" t="s">
        <v>2512</v>
      </c>
      <c r="B21" s="2" t="s">
        <v>162</v>
      </c>
    </row>
    <row r="22" customFormat="false" ht="15" hidden="false" customHeight="false" outlineLevel="0" collapsed="false">
      <c r="A22" s="2" t="s">
        <v>278</v>
      </c>
      <c r="B22" s="2" t="s">
        <v>162</v>
      </c>
    </row>
    <row r="23" customFormat="false" ht="15" hidden="false" customHeight="false" outlineLevel="0" collapsed="false">
      <c r="A23" s="2" t="s">
        <v>2513</v>
      </c>
      <c r="B23" s="2" t="s">
        <v>162</v>
      </c>
    </row>
    <row r="24" customFormat="false" ht="15" hidden="false" customHeight="false" outlineLevel="0" collapsed="false">
      <c r="A24" s="2" t="s">
        <v>2514</v>
      </c>
      <c r="B24" s="2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7" t="s">
        <v>2515</v>
      </c>
    </row>
    <row r="2" customFormat="false" ht="15" hidden="false" customHeight="false" outlineLevel="0" collapsed="false">
      <c r="A2" s="17" t="s">
        <v>2516</v>
      </c>
    </row>
    <row r="3" customFormat="false" ht="15" hidden="false" customHeight="false" outlineLevel="0" collapsed="false">
      <c r="A3" s="17" t="s">
        <v>2517</v>
      </c>
    </row>
    <row r="4" customFormat="false" ht="15" hidden="false" customHeight="false" outlineLevel="0" collapsed="false">
      <c r="A4" s="17" t="s">
        <v>2518</v>
      </c>
    </row>
    <row r="5" customFormat="false" ht="15" hidden="false" customHeight="false" outlineLevel="0" collapsed="false">
      <c r="A5" s="17" t="s">
        <v>2519</v>
      </c>
    </row>
    <row r="6" customFormat="false" ht="15" hidden="false" customHeight="false" outlineLevel="0" collapsed="false">
      <c r="A6" s="17" t="s">
        <v>2520</v>
      </c>
    </row>
    <row r="7" customFormat="false" ht="15" hidden="false" customHeight="false" outlineLevel="0" collapsed="false">
      <c r="A7" s="17" t="s">
        <v>2521</v>
      </c>
    </row>
    <row r="8" customFormat="false" ht="15" hidden="false" customHeight="false" outlineLevel="0" collapsed="false">
      <c r="A8" s="17" t="s">
        <v>2522</v>
      </c>
    </row>
    <row r="9" customFormat="false" ht="15" hidden="false" customHeight="false" outlineLevel="0" collapsed="false">
      <c r="A9" s="17" t="s">
        <v>2523</v>
      </c>
    </row>
    <row r="10" customFormat="false" ht="15" hidden="false" customHeight="false" outlineLevel="0" collapsed="false">
      <c r="A10" s="17" t="s">
        <v>2524</v>
      </c>
    </row>
    <row r="11" customFormat="false" ht="15" hidden="false" customHeight="false" outlineLevel="0" collapsed="false">
      <c r="A11" s="17" t="s">
        <v>2525</v>
      </c>
    </row>
    <row r="12" customFormat="false" ht="15" hidden="false" customHeight="false" outlineLevel="0" collapsed="false">
      <c r="A12" s="17" t="s">
        <v>2526</v>
      </c>
    </row>
    <row r="13" customFormat="false" ht="15" hidden="false" customHeight="false" outlineLevel="0" collapsed="false">
      <c r="A13" s="17" t="s">
        <v>2527</v>
      </c>
    </row>
    <row r="14" customFormat="false" ht="15" hidden="false" customHeight="false" outlineLevel="0" collapsed="false">
      <c r="A14" s="17" t="s">
        <v>2528</v>
      </c>
    </row>
    <row r="15" customFormat="false" ht="15" hidden="false" customHeight="false" outlineLevel="0" collapsed="false">
      <c r="A15" s="17" t="s">
        <v>2529</v>
      </c>
    </row>
    <row r="16" customFormat="false" ht="15" hidden="false" customHeight="false" outlineLevel="0" collapsed="false">
      <c r="A16" s="17"/>
    </row>
    <row r="17" customFormat="false" ht="15" hidden="false" customHeight="false" outlineLevel="0" collapsed="false">
      <c r="A17" s="17" t="s">
        <v>2530</v>
      </c>
    </row>
    <row r="18" customFormat="false" ht="15" hidden="false" customHeight="false" outlineLevel="0" collapsed="false">
      <c r="A18" s="17" t="s">
        <v>2531</v>
      </c>
    </row>
    <row r="19" customFormat="false" ht="15" hidden="false" customHeight="false" outlineLevel="0" collapsed="false">
      <c r="A19" s="17" t="s">
        <v>2532</v>
      </c>
    </row>
    <row r="20" customFormat="false" ht="15" hidden="false" customHeight="false" outlineLevel="0" collapsed="false">
      <c r="A20" s="17" t="s">
        <v>2533</v>
      </c>
    </row>
    <row r="21" customFormat="false" ht="15" hidden="false" customHeight="false" outlineLevel="0" collapsed="false">
      <c r="A21" s="17" t="s">
        <v>2534</v>
      </c>
    </row>
    <row r="22" customFormat="false" ht="15" hidden="false" customHeight="false" outlineLevel="0" collapsed="false">
      <c r="A22" s="17" t="s">
        <v>2535</v>
      </c>
    </row>
    <row r="23" customFormat="false" ht="15" hidden="false" customHeight="false" outlineLevel="0" collapsed="false">
      <c r="A23" s="17" t="s">
        <v>2536</v>
      </c>
    </row>
    <row r="24" customFormat="false" ht="15" hidden="false" customHeight="false" outlineLevel="0" collapsed="false">
      <c r="A24" s="17" t="s">
        <v>2537</v>
      </c>
    </row>
    <row r="25" customFormat="false" ht="15" hidden="false" customHeight="false" outlineLevel="0" collapsed="false">
      <c r="A25" s="17" t="s">
        <v>2538</v>
      </c>
    </row>
    <row r="26" customFormat="false" ht="15" hidden="false" customHeight="false" outlineLevel="0" collapsed="false">
      <c r="A26" s="17" t="s">
        <v>2539</v>
      </c>
    </row>
    <row r="27" customFormat="false" ht="15" hidden="false" customHeight="false" outlineLevel="0" collapsed="false">
      <c r="A27" s="17" t="s">
        <v>2534</v>
      </c>
    </row>
    <row r="28" customFormat="false" ht="15" hidden="false" customHeight="false" outlineLevel="0" collapsed="false">
      <c r="A28" s="17"/>
    </row>
    <row r="29" customFormat="false" ht="15" hidden="false" customHeight="false" outlineLevel="0" collapsed="false">
      <c r="A29" s="17" t="s">
        <v>2540</v>
      </c>
    </row>
    <row r="30" customFormat="false" ht="15" hidden="false" customHeight="false" outlineLevel="0" collapsed="false">
      <c r="A30" s="17" t="s">
        <v>2541</v>
      </c>
    </row>
    <row r="31" customFormat="false" ht="15" hidden="false" customHeight="false" outlineLevel="0" collapsed="false">
      <c r="A31" s="17" t="s">
        <v>2542</v>
      </c>
    </row>
    <row r="32" customFormat="false" ht="15" hidden="false" customHeight="false" outlineLevel="0" collapsed="false">
      <c r="A32" s="17" t="s">
        <v>2543</v>
      </c>
    </row>
    <row r="33" customFormat="false" ht="15" hidden="false" customHeight="false" outlineLevel="0" collapsed="false">
      <c r="A33" s="17" t="s">
        <v>2534</v>
      </c>
    </row>
    <row r="34" customFormat="false" ht="15" hidden="false" customHeight="false" outlineLevel="0" collapsed="false">
      <c r="A34" s="17"/>
    </row>
    <row r="35" customFormat="false" ht="15" hidden="false" customHeight="false" outlineLevel="0" collapsed="false">
      <c r="A35" s="17" t="s">
        <v>2544</v>
      </c>
    </row>
    <row r="36" customFormat="false" ht="15" hidden="false" customHeight="false" outlineLevel="0" collapsed="false">
      <c r="A36" s="17" t="s">
        <v>2545</v>
      </c>
    </row>
    <row r="37" customFormat="false" ht="15" hidden="false" customHeight="false" outlineLevel="0" collapsed="false">
      <c r="A37" s="17" t="s">
        <v>2546</v>
      </c>
    </row>
    <row r="38" customFormat="false" ht="15" hidden="false" customHeight="false" outlineLevel="0" collapsed="false">
      <c r="A38" s="17"/>
    </row>
    <row r="39" customFormat="false" ht="15" hidden="false" customHeight="false" outlineLevel="0" collapsed="false">
      <c r="A39" s="17" t="s">
        <v>2547</v>
      </c>
    </row>
    <row r="40" customFormat="false" ht="15" hidden="false" customHeight="false" outlineLevel="0" collapsed="false">
      <c r="A40" s="17" t="s">
        <v>2548</v>
      </c>
    </row>
    <row r="41" customFormat="false" ht="15" hidden="false" customHeight="false" outlineLevel="0" collapsed="false">
      <c r="A41" s="17"/>
    </row>
    <row r="42" customFormat="false" ht="15" hidden="false" customHeight="false" outlineLevel="0" collapsed="false">
      <c r="A42" s="17" t="s">
        <v>2549</v>
      </c>
    </row>
    <row r="43" customFormat="false" ht="15" hidden="false" customHeight="false" outlineLevel="0" collapsed="false">
      <c r="A43" s="17" t="s">
        <v>2550</v>
      </c>
    </row>
    <row r="44" customFormat="false" ht="15" hidden="false" customHeight="false" outlineLevel="0" collapsed="false">
      <c r="A44" s="17" t="s">
        <v>2551</v>
      </c>
    </row>
    <row r="45" customFormat="false" ht="15" hidden="false" customHeight="false" outlineLevel="0" collapsed="false">
      <c r="A45" s="17" t="s">
        <v>2552</v>
      </c>
    </row>
    <row r="46" customFormat="false" ht="15" hidden="false" customHeight="false" outlineLevel="0" collapsed="false">
      <c r="A46" s="17" t="s">
        <v>2534</v>
      </c>
    </row>
    <row r="47" customFormat="false" ht="15" hidden="false" customHeight="false" outlineLevel="0" collapsed="false">
      <c r="A47" s="17" t="s">
        <v>2553</v>
      </c>
    </row>
    <row r="48" customFormat="false" ht="15" hidden="false" customHeight="false" outlineLevel="0" collapsed="false">
      <c r="A48" s="17" t="s">
        <v>2554</v>
      </c>
    </row>
    <row r="49" customFormat="false" ht="15" hidden="false" customHeight="false" outlineLevel="0" collapsed="false">
      <c r="A49" s="17" t="s">
        <v>2555</v>
      </c>
    </row>
    <row r="50" customFormat="false" ht="15" hidden="false" customHeight="false" outlineLevel="0" collapsed="false">
      <c r="A50" s="17" t="s">
        <v>2556</v>
      </c>
    </row>
    <row r="51" customFormat="false" ht="15" hidden="false" customHeight="false" outlineLevel="0" collapsed="false">
      <c r="A51" s="17" t="s">
        <v>2557</v>
      </c>
    </row>
    <row r="52" customFormat="false" ht="15" hidden="false" customHeight="false" outlineLevel="0" collapsed="false">
      <c r="A52" s="17" t="s">
        <v>2534</v>
      </c>
    </row>
    <row r="53" customFormat="false" ht="15" hidden="false" customHeight="false" outlineLevel="0" collapsed="false">
      <c r="A53" s="17" t="s">
        <v>2558</v>
      </c>
    </row>
    <row r="54" customFormat="false" ht="15" hidden="false" customHeight="false" outlineLevel="0" collapsed="false">
      <c r="A54" s="17" t="s">
        <v>2559</v>
      </c>
    </row>
    <row r="55" customFormat="false" ht="15" hidden="false" customHeight="false" outlineLevel="0" collapsed="false">
      <c r="A55" s="17" t="s">
        <v>2560</v>
      </c>
    </row>
    <row r="56" customFormat="false" ht="15" hidden="false" customHeight="false" outlineLevel="0" collapsed="false">
      <c r="A56" s="17" t="s">
        <v>2534</v>
      </c>
    </row>
    <row r="57" customFormat="false" ht="15" hidden="false" customHeight="false" outlineLevel="0" collapsed="false">
      <c r="A57" s="17"/>
    </row>
    <row r="58" customFormat="false" ht="15" hidden="false" customHeight="false" outlineLevel="0" collapsed="false">
      <c r="A58" s="17" t="s">
        <v>2561</v>
      </c>
    </row>
    <row r="59" customFormat="false" ht="15" hidden="false" customHeight="false" outlineLevel="0" collapsed="false">
      <c r="A59" s="17" t="s">
        <v>2562</v>
      </c>
    </row>
    <row r="60" customFormat="false" ht="15" hidden="false" customHeight="false" outlineLevel="0" collapsed="false">
      <c r="A60" s="17" t="s">
        <v>2563</v>
      </c>
    </row>
    <row r="61" customFormat="false" ht="15" hidden="false" customHeight="false" outlineLevel="0" collapsed="false">
      <c r="A61" s="17" t="s">
        <v>2564</v>
      </c>
    </row>
    <row r="62" customFormat="false" ht="15" hidden="false" customHeight="false" outlineLevel="0" collapsed="false">
      <c r="A62" s="17" t="s">
        <v>2534</v>
      </c>
    </row>
    <row r="63" customFormat="false" ht="15" hidden="false" customHeight="false" outlineLevel="0" collapsed="false">
      <c r="A63" s="17" t="s">
        <v>2565</v>
      </c>
    </row>
    <row r="64" customFormat="false" ht="15" hidden="false" customHeight="false" outlineLevel="0" collapsed="false">
      <c r="A64" s="17" t="s">
        <v>2566</v>
      </c>
    </row>
    <row r="65" customFormat="false" ht="15" hidden="false" customHeight="false" outlineLevel="0" collapsed="false">
      <c r="A65" s="17" t="s">
        <v>2534</v>
      </c>
    </row>
    <row r="66" customFormat="false" ht="15" hidden="false" customHeight="false" outlineLevel="0" collapsed="false">
      <c r="A66" s="17"/>
    </row>
    <row r="67" customFormat="false" ht="15" hidden="false" customHeight="false" outlineLevel="0" collapsed="false">
      <c r="A67" s="17" t="s">
        <v>2567</v>
      </c>
    </row>
    <row r="68" customFormat="false" ht="15" hidden="false" customHeight="false" outlineLevel="0" collapsed="false">
      <c r="A68" s="17" t="s">
        <v>2568</v>
      </c>
    </row>
    <row r="69" customFormat="false" ht="15" hidden="false" customHeight="false" outlineLevel="0" collapsed="false">
      <c r="A69" s="17" t="s">
        <v>2569</v>
      </c>
    </row>
    <row r="70" customFormat="false" ht="15" hidden="false" customHeight="false" outlineLevel="0" collapsed="false">
      <c r="A70" s="17" t="s">
        <v>2570</v>
      </c>
    </row>
    <row r="71" customFormat="false" ht="15" hidden="false" customHeight="false" outlineLevel="0" collapsed="false">
      <c r="A71" s="17" t="s">
        <v>2571</v>
      </c>
    </row>
    <row r="72" customFormat="false" ht="15" hidden="false" customHeight="false" outlineLevel="0" collapsed="false">
      <c r="A72" s="17" t="s">
        <v>2572</v>
      </c>
    </row>
    <row r="73" customFormat="false" ht="15" hidden="false" customHeight="false" outlineLevel="0" collapsed="false">
      <c r="A73" s="17" t="s">
        <v>2573</v>
      </c>
    </row>
    <row r="74" customFormat="false" ht="15" hidden="false" customHeight="false" outlineLevel="0" collapsed="false">
      <c r="A74" s="17" t="s">
        <v>2574</v>
      </c>
    </row>
    <row r="75" customFormat="false" ht="15" hidden="false" customHeight="false" outlineLevel="0" collapsed="false">
      <c r="A75" s="17" t="s">
        <v>2575</v>
      </c>
    </row>
    <row r="76" customFormat="false" ht="15" hidden="false" customHeight="false" outlineLevel="0" collapsed="false">
      <c r="A76" s="17" t="s">
        <v>2576</v>
      </c>
    </row>
    <row r="77" customFormat="false" ht="15" hidden="false" customHeight="false" outlineLevel="0" collapsed="false">
      <c r="A77" s="17" t="s">
        <v>2577</v>
      </c>
    </row>
    <row r="78" customFormat="false" ht="15" hidden="false" customHeight="false" outlineLevel="0" collapsed="false">
      <c r="A78" s="17" t="s">
        <v>2578</v>
      </c>
    </row>
    <row r="79" customFormat="false" ht="15" hidden="false" customHeight="false" outlineLevel="0" collapsed="false">
      <c r="A79" s="17" t="s">
        <v>2579</v>
      </c>
    </row>
    <row r="80" customFormat="false" ht="15" hidden="false" customHeight="false" outlineLevel="0" collapsed="false">
      <c r="A80" s="17" t="s">
        <v>2580</v>
      </c>
    </row>
    <row r="81" customFormat="false" ht="15" hidden="false" customHeight="false" outlineLevel="0" collapsed="false">
      <c r="A81" s="17" t="s">
        <v>2534</v>
      </c>
    </row>
    <row r="82" customFormat="false" ht="15" hidden="false" customHeight="false" outlineLevel="0" collapsed="false">
      <c r="A82" s="17"/>
    </row>
    <row r="83" customFormat="false" ht="15" hidden="false" customHeight="false" outlineLevel="0" collapsed="false">
      <c r="A83" s="17" t="s">
        <v>2581</v>
      </c>
    </row>
    <row r="84" customFormat="false" ht="15" hidden="false" customHeight="false" outlineLevel="0" collapsed="false">
      <c r="A84" s="17" t="s">
        <v>2582</v>
      </c>
    </row>
    <row r="85" customFormat="false" ht="15" hidden="false" customHeight="false" outlineLevel="0" collapsed="false">
      <c r="A85" s="17" t="s">
        <v>2583</v>
      </c>
    </row>
    <row r="86" customFormat="false" ht="15" hidden="false" customHeight="false" outlineLevel="0" collapsed="false">
      <c r="A86" s="17" t="s">
        <v>2584</v>
      </c>
    </row>
    <row r="87" customFormat="false" ht="15" hidden="false" customHeight="false" outlineLevel="0" collapsed="false">
      <c r="A87" s="17" t="s">
        <v>2585</v>
      </c>
    </row>
    <row r="88" customFormat="false" ht="15" hidden="false" customHeight="false" outlineLevel="0" collapsed="false">
      <c r="A88" s="17" t="s">
        <v>2586</v>
      </c>
    </row>
    <row r="89" customFormat="false" ht="15" hidden="false" customHeight="false" outlineLevel="0" collapsed="false">
      <c r="A89" s="17" t="s">
        <v>2534</v>
      </c>
    </row>
    <row r="90" customFormat="false" ht="15" hidden="false" customHeight="false" outlineLevel="0" collapsed="false">
      <c r="A90" s="17"/>
    </row>
    <row r="91" customFormat="false" ht="15" hidden="false" customHeight="false" outlineLevel="0" collapsed="false">
      <c r="A91" s="17" t="s">
        <v>2587</v>
      </c>
    </row>
    <row r="92" customFormat="false" ht="15" hidden="false" customHeight="false" outlineLevel="0" collapsed="false">
      <c r="A92" s="17" t="s">
        <v>2588</v>
      </c>
    </row>
    <row r="93" customFormat="false" ht="15" hidden="false" customHeight="false" outlineLevel="0" collapsed="false">
      <c r="A93" s="17" t="s">
        <v>2589</v>
      </c>
    </row>
    <row r="94" customFormat="false" ht="15" hidden="false" customHeight="false" outlineLevel="0" collapsed="false">
      <c r="A94" s="17" t="s">
        <v>2573</v>
      </c>
    </row>
    <row r="95" customFormat="false" ht="15" hidden="false" customHeight="false" outlineLevel="0" collapsed="false">
      <c r="A95" s="17" t="s">
        <v>2590</v>
      </c>
    </row>
    <row r="96" customFormat="false" ht="15" hidden="false" customHeight="false" outlineLevel="0" collapsed="false">
      <c r="A96" s="17" t="s">
        <v>2591</v>
      </c>
    </row>
    <row r="97" customFormat="false" ht="15" hidden="false" customHeight="false" outlineLevel="0" collapsed="false">
      <c r="A97" s="17" t="s">
        <v>2592</v>
      </c>
    </row>
    <row r="98" customFormat="false" ht="15" hidden="false" customHeight="false" outlineLevel="0" collapsed="false">
      <c r="A98" s="17" t="s">
        <v>2593</v>
      </c>
    </row>
    <row r="99" customFormat="false" ht="15" hidden="false" customHeight="false" outlineLevel="0" collapsed="false">
      <c r="A99" s="17" t="s">
        <v>2594</v>
      </c>
    </row>
    <row r="100" customFormat="false" ht="15" hidden="false" customHeight="false" outlineLevel="0" collapsed="false">
      <c r="A100" s="17" t="s">
        <v>2595</v>
      </c>
    </row>
    <row r="101" customFormat="false" ht="15" hidden="false" customHeight="false" outlineLevel="0" collapsed="false">
      <c r="A101" s="17" t="s">
        <v>2596</v>
      </c>
    </row>
    <row r="102" customFormat="false" ht="15" hidden="false" customHeight="false" outlineLevel="0" collapsed="false">
      <c r="A102" s="17" t="s">
        <v>2534</v>
      </c>
    </row>
    <row r="103" customFormat="false" ht="15" hidden="false" customHeight="false" outlineLevel="0" collapsed="false">
      <c r="A103" s="17"/>
    </row>
    <row r="104" customFormat="false" ht="15" hidden="false" customHeight="false" outlineLevel="0" collapsed="false">
      <c r="A104" s="17" t="s">
        <v>2597</v>
      </c>
    </row>
    <row r="105" customFormat="false" ht="15" hidden="false" customHeight="false" outlineLevel="0" collapsed="false">
      <c r="A105" s="17" t="s">
        <v>2598</v>
      </c>
    </row>
    <row r="106" customFormat="false" ht="15" hidden="false" customHeight="false" outlineLevel="0" collapsed="false">
      <c r="A106" s="17" t="s">
        <v>2599</v>
      </c>
    </row>
    <row r="107" customFormat="false" ht="15" hidden="false" customHeight="false" outlineLevel="0" collapsed="false">
      <c r="A107" s="17" t="s">
        <v>2573</v>
      </c>
    </row>
    <row r="108" customFormat="false" ht="15" hidden="false" customHeight="false" outlineLevel="0" collapsed="false">
      <c r="A108" s="17" t="s">
        <v>2600</v>
      </c>
    </row>
    <row r="109" customFormat="false" ht="15" hidden="false" customHeight="false" outlineLevel="0" collapsed="false">
      <c r="A109" s="17" t="s">
        <v>2601</v>
      </c>
    </row>
    <row r="110" customFormat="false" ht="15" hidden="false" customHeight="false" outlineLevel="0" collapsed="false">
      <c r="A110" s="17" t="s">
        <v>2602</v>
      </c>
    </row>
    <row r="111" customFormat="false" ht="15" hidden="false" customHeight="false" outlineLevel="0" collapsed="false">
      <c r="A111" s="17" t="s">
        <v>2603</v>
      </c>
    </row>
    <row r="112" customFormat="false" ht="15" hidden="false" customHeight="false" outlineLevel="0" collapsed="false">
      <c r="A112" s="17" t="s">
        <v>2534</v>
      </c>
    </row>
    <row r="113" customFormat="false" ht="15" hidden="false" customHeight="false" outlineLevel="0" collapsed="false">
      <c r="A113" s="17"/>
    </row>
    <row r="114" customFormat="false" ht="15" hidden="false" customHeight="false" outlineLevel="0" collapsed="false">
      <c r="A114" s="17" t="s">
        <v>2604</v>
      </c>
    </row>
    <row r="115" customFormat="false" ht="15" hidden="false" customHeight="false" outlineLevel="0" collapsed="false">
      <c r="A115" s="17" t="s">
        <v>2605</v>
      </c>
    </row>
    <row r="116" customFormat="false" ht="15" hidden="false" customHeight="false" outlineLevel="0" collapsed="false">
      <c r="A116" s="17" t="s">
        <v>2606</v>
      </c>
    </row>
    <row r="117" customFormat="false" ht="15" hidden="false" customHeight="false" outlineLevel="0" collapsed="false">
      <c r="A117" s="17" t="s">
        <v>2607</v>
      </c>
    </row>
    <row r="118" customFormat="false" ht="15" hidden="false" customHeight="false" outlineLevel="0" collapsed="false">
      <c r="A118" s="17" t="s">
        <v>2608</v>
      </c>
    </row>
    <row r="119" customFormat="false" ht="15" hidden="false" customHeight="false" outlineLevel="0" collapsed="false">
      <c r="A119" s="17" t="s">
        <v>2534</v>
      </c>
    </row>
    <row r="120" customFormat="false" ht="15" hidden="false" customHeight="false" outlineLevel="0" collapsed="false">
      <c r="A120" s="17" t="s">
        <v>2609</v>
      </c>
    </row>
    <row r="121" customFormat="false" ht="15" hidden="false" customHeight="false" outlineLevel="0" collapsed="false">
      <c r="A121" s="17" t="s">
        <v>2610</v>
      </c>
    </row>
    <row r="122" customFormat="false" ht="15" hidden="false" customHeight="false" outlineLevel="0" collapsed="false">
      <c r="A122" s="17" t="s">
        <v>2611</v>
      </c>
    </row>
    <row r="123" customFormat="false" ht="15" hidden="false" customHeight="false" outlineLevel="0" collapsed="false">
      <c r="A123" s="17" t="s">
        <v>2612</v>
      </c>
    </row>
    <row r="124" customFormat="false" ht="15" hidden="false" customHeight="false" outlineLevel="0" collapsed="false">
      <c r="A124" s="17" t="s">
        <v>2613</v>
      </c>
    </row>
    <row r="125" customFormat="false" ht="15" hidden="false" customHeight="false" outlineLevel="0" collapsed="false">
      <c r="A125" s="17" t="s">
        <v>2534</v>
      </c>
    </row>
    <row r="126" customFormat="false" ht="15" hidden="false" customHeight="false" outlineLevel="0" collapsed="false">
      <c r="A126" s="17"/>
    </row>
    <row r="127" customFormat="false" ht="15" hidden="false" customHeight="false" outlineLevel="0" collapsed="false">
      <c r="A127" s="17" t="s">
        <v>2614</v>
      </c>
    </row>
    <row r="128" customFormat="false" ht="15" hidden="false" customHeight="false" outlineLevel="0" collapsed="false">
      <c r="A128" s="17" t="s">
        <v>2615</v>
      </c>
    </row>
    <row r="129" customFormat="false" ht="15" hidden="false" customHeight="false" outlineLevel="0" collapsed="false">
      <c r="A129" s="17" t="s">
        <v>2616</v>
      </c>
    </row>
    <row r="130" customFormat="false" ht="15" hidden="false" customHeight="false" outlineLevel="0" collapsed="false">
      <c r="A130" s="17" t="s">
        <v>2617</v>
      </c>
    </row>
    <row r="131" customFormat="false" ht="15" hidden="false" customHeight="false" outlineLevel="0" collapsed="false">
      <c r="A131" s="17" t="s">
        <v>2608</v>
      </c>
    </row>
    <row r="132" customFormat="false" ht="15" hidden="false" customHeight="false" outlineLevel="0" collapsed="false">
      <c r="A132" s="17" t="s">
        <v>2534</v>
      </c>
    </row>
    <row r="133" customFormat="false" ht="15" hidden="false" customHeight="false" outlineLevel="0" collapsed="false">
      <c r="A133" s="17" t="s">
        <v>2618</v>
      </c>
    </row>
    <row r="134" customFormat="false" ht="15" hidden="false" customHeight="false" outlineLevel="0" collapsed="false">
      <c r="A134" s="17" t="s">
        <v>2619</v>
      </c>
    </row>
    <row r="135" customFormat="false" ht="15" hidden="false" customHeight="false" outlineLevel="0" collapsed="false">
      <c r="A135" s="17" t="s">
        <v>2620</v>
      </c>
    </row>
    <row r="136" customFormat="false" ht="15" hidden="false" customHeight="false" outlineLevel="0" collapsed="false">
      <c r="A136" s="17" t="s">
        <v>2534</v>
      </c>
    </row>
    <row r="137" customFormat="false" ht="15" hidden="false" customHeight="false" outlineLevel="0" collapsed="false">
      <c r="A137" s="17"/>
    </row>
    <row r="138" customFormat="false" ht="15" hidden="false" customHeight="false" outlineLevel="0" collapsed="false">
      <c r="A138" s="17" t="s">
        <v>2621</v>
      </c>
    </row>
    <row r="139" customFormat="false" ht="15" hidden="false" customHeight="false" outlineLevel="0" collapsed="false">
      <c r="A139" s="17" t="s">
        <v>2622</v>
      </c>
    </row>
    <row r="140" customFormat="false" ht="15" hidden="false" customHeight="false" outlineLevel="0" collapsed="false">
      <c r="A140" s="17" t="s">
        <v>2623</v>
      </c>
    </row>
    <row r="141" customFormat="false" ht="15" hidden="false" customHeight="false" outlineLevel="0" collapsed="false">
      <c r="A141" s="17" t="s">
        <v>2573</v>
      </c>
    </row>
    <row r="142" customFormat="false" ht="15" hidden="false" customHeight="false" outlineLevel="0" collapsed="false">
      <c r="A142" s="17" t="s">
        <v>2624</v>
      </c>
    </row>
    <row r="143" customFormat="false" ht="15" hidden="false" customHeight="false" outlineLevel="0" collapsed="false">
      <c r="A143" s="17" t="s">
        <v>2625</v>
      </c>
    </row>
    <row r="144" customFormat="false" ht="15" hidden="false" customHeight="false" outlineLevel="0" collapsed="false">
      <c r="A144" s="17" t="s">
        <v>2626</v>
      </c>
    </row>
    <row r="145" customFormat="false" ht="15" hidden="false" customHeight="false" outlineLevel="0" collapsed="false">
      <c r="A145" s="17" t="s">
        <v>2627</v>
      </c>
    </row>
    <row r="146" customFormat="false" ht="15" hidden="false" customHeight="false" outlineLevel="0" collapsed="false">
      <c r="A146" s="17" t="s">
        <v>2628</v>
      </c>
    </row>
    <row r="147" customFormat="false" ht="15" hidden="false" customHeight="false" outlineLevel="0" collapsed="false">
      <c r="A147" s="17" t="s">
        <v>2629</v>
      </c>
    </row>
    <row r="148" customFormat="false" ht="15" hidden="false" customHeight="false" outlineLevel="0" collapsed="false">
      <c r="A148" s="17" t="s">
        <v>2630</v>
      </c>
    </row>
    <row r="149" customFormat="false" ht="15" hidden="false" customHeight="false" outlineLevel="0" collapsed="false">
      <c r="A149" s="17" t="s">
        <v>2631</v>
      </c>
    </row>
    <row r="150" customFormat="false" ht="15" hidden="false" customHeight="false" outlineLevel="0" collapsed="false">
      <c r="A150" s="17" t="s">
        <v>2632</v>
      </c>
    </row>
    <row r="151" customFormat="false" ht="15" hidden="false" customHeight="false" outlineLevel="0" collapsed="false">
      <c r="A151" s="17" t="s">
        <v>2633</v>
      </c>
    </row>
    <row r="152" customFormat="false" ht="15" hidden="false" customHeight="false" outlineLevel="0" collapsed="false">
      <c r="A152" s="17" t="s">
        <v>2634</v>
      </c>
    </row>
    <row r="153" customFormat="false" ht="15" hidden="false" customHeight="false" outlineLevel="0" collapsed="false">
      <c r="A153" s="17" t="s">
        <v>2635</v>
      </c>
    </row>
    <row r="154" customFormat="false" ht="15" hidden="false" customHeight="false" outlineLevel="0" collapsed="false">
      <c r="A154" s="17" t="s">
        <v>2636</v>
      </c>
    </row>
    <row r="155" customFormat="false" ht="15" hidden="false" customHeight="false" outlineLevel="0" collapsed="false">
      <c r="A155" s="17" t="s">
        <v>2637</v>
      </c>
    </row>
    <row r="156" customFormat="false" ht="15" hidden="false" customHeight="false" outlineLevel="0" collapsed="false">
      <c r="A156" s="17" t="s">
        <v>2608</v>
      </c>
    </row>
    <row r="157" customFormat="false" ht="15" hidden="false" customHeight="false" outlineLevel="0" collapsed="false">
      <c r="A157" s="17" t="s">
        <v>2534</v>
      </c>
    </row>
    <row r="158" customFormat="false" ht="15" hidden="false" customHeight="false" outlineLevel="0" collapsed="false">
      <c r="A158" s="17"/>
    </row>
    <row r="159" customFormat="false" ht="15" hidden="false" customHeight="false" outlineLevel="0" collapsed="false">
      <c r="A159" s="17" t="s">
        <v>2638</v>
      </c>
    </row>
    <row r="160" customFormat="false" ht="15" hidden="false" customHeight="false" outlineLevel="0" collapsed="false">
      <c r="A160" s="17" t="s">
        <v>2639</v>
      </c>
    </row>
    <row r="161" customFormat="false" ht="15" hidden="false" customHeight="false" outlineLevel="0" collapsed="false">
      <c r="A161" s="17" t="s">
        <v>2640</v>
      </c>
    </row>
    <row r="162" customFormat="false" ht="15" hidden="false" customHeight="false" outlineLevel="0" collapsed="false">
      <c r="A162" s="17" t="s">
        <v>2641</v>
      </c>
    </row>
    <row r="163" customFormat="false" ht="15" hidden="false" customHeight="false" outlineLevel="0" collapsed="false">
      <c r="A163" s="17" t="s">
        <v>2642</v>
      </c>
    </row>
    <row r="164" customFormat="false" ht="15" hidden="false" customHeight="false" outlineLevel="0" collapsed="false">
      <c r="A164" s="17" t="s">
        <v>2643</v>
      </c>
    </row>
    <row r="165" customFormat="false" ht="15" hidden="false" customHeight="false" outlineLevel="0" collapsed="false">
      <c r="A165" s="17" t="s">
        <v>2534</v>
      </c>
    </row>
    <row r="166" customFormat="false" ht="15" hidden="false" customHeight="false" outlineLevel="0" collapsed="false">
      <c r="A166" s="17" t="s">
        <v>2644</v>
      </c>
    </row>
    <row r="167" customFormat="false" ht="15" hidden="false" customHeight="false" outlineLevel="0" collapsed="false">
      <c r="A167" s="17" t="s">
        <v>2645</v>
      </c>
    </row>
    <row r="168" customFormat="false" ht="15" hidden="false" customHeight="false" outlineLevel="0" collapsed="false">
      <c r="A168" s="17" t="s">
        <v>2646</v>
      </c>
    </row>
    <row r="169" customFormat="false" ht="15" hidden="false" customHeight="false" outlineLevel="0" collapsed="false">
      <c r="A169" s="17" t="s">
        <v>2647</v>
      </c>
    </row>
    <row r="170" customFormat="false" ht="15" hidden="false" customHeight="false" outlineLevel="0" collapsed="false">
      <c r="A170" s="17" t="s">
        <v>2648</v>
      </c>
    </row>
    <row r="171" customFormat="false" ht="15" hidden="false" customHeight="false" outlineLevel="0" collapsed="false">
      <c r="A171" s="17" t="s">
        <v>2534</v>
      </c>
    </row>
    <row r="172" customFormat="false" ht="15" hidden="false" customHeight="false" outlineLevel="0" collapsed="false">
      <c r="A172" s="17"/>
    </row>
    <row r="173" customFormat="false" ht="15" hidden="false" customHeight="false" outlineLevel="0" collapsed="false">
      <c r="A173" s="17" t="s">
        <v>2649</v>
      </c>
    </row>
    <row r="174" customFormat="false" ht="15" hidden="false" customHeight="false" outlineLevel="0" collapsed="false">
      <c r="A174" s="17" t="s">
        <v>2650</v>
      </c>
    </row>
    <row r="175" customFormat="false" ht="15" hidden="false" customHeight="false" outlineLevel="0" collapsed="false">
      <c r="A175" s="17"/>
    </row>
    <row r="176" customFormat="false" ht="15" hidden="false" customHeight="false" outlineLevel="0" collapsed="false">
      <c r="A176" s="17" t="s">
        <v>2651</v>
      </c>
    </row>
    <row r="177" customFormat="false" ht="15" hidden="false" customHeight="false" outlineLevel="0" collapsed="false">
      <c r="A177" s="17" t="s">
        <v>2652</v>
      </c>
    </row>
    <row r="178" customFormat="false" ht="15" hidden="false" customHeight="false" outlineLevel="0" collapsed="false">
      <c r="A178" s="17" t="s">
        <v>2653</v>
      </c>
    </row>
    <row r="179" customFormat="false" ht="15" hidden="false" customHeight="false" outlineLevel="0" collapsed="false">
      <c r="A179" s="17" t="s">
        <v>2534</v>
      </c>
    </row>
    <row r="180" customFormat="false" ht="15" hidden="false" customHeight="false" outlineLevel="0" collapsed="false">
      <c r="A180" s="17" t="s">
        <v>2654</v>
      </c>
    </row>
    <row r="181" customFormat="false" ht="15" hidden="false" customHeight="false" outlineLevel="0" collapsed="false">
      <c r="A181" s="17" t="s">
        <v>2655</v>
      </c>
    </row>
    <row r="182" customFormat="false" ht="15" hidden="false" customHeight="false" outlineLevel="0" collapsed="false">
      <c r="A182" s="17" t="s">
        <v>2573</v>
      </c>
    </row>
    <row r="183" customFormat="false" ht="15" hidden="false" customHeight="false" outlineLevel="0" collapsed="false">
      <c r="A183" s="17" t="s">
        <v>2656</v>
      </c>
    </row>
    <row r="184" customFormat="false" ht="15" hidden="false" customHeight="false" outlineLevel="0" collapsed="false">
      <c r="A184" s="17" t="s">
        <v>2657</v>
      </c>
    </row>
    <row r="185" customFormat="false" ht="15" hidden="false" customHeight="false" outlineLevel="0" collapsed="false">
      <c r="A185" s="17" t="s">
        <v>2658</v>
      </c>
    </row>
    <row r="186" customFormat="false" ht="15" hidden="false" customHeight="false" outlineLevel="0" collapsed="false">
      <c r="A186" s="17" t="s">
        <v>2659</v>
      </c>
    </row>
    <row r="187" customFormat="false" ht="15" hidden="false" customHeight="false" outlineLevel="0" collapsed="false">
      <c r="A187" s="17" t="s">
        <v>2660</v>
      </c>
    </row>
    <row r="188" customFormat="false" ht="15" hidden="false" customHeight="false" outlineLevel="0" collapsed="false">
      <c r="A188" s="17" t="s">
        <v>2661</v>
      </c>
    </row>
    <row r="189" customFormat="false" ht="15" hidden="false" customHeight="false" outlineLevel="0" collapsed="false">
      <c r="A189" s="17" t="s">
        <v>2662</v>
      </c>
    </row>
    <row r="190" customFormat="false" ht="15" hidden="false" customHeight="false" outlineLevel="0" collapsed="false">
      <c r="A190" s="17" t="s">
        <v>2580</v>
      </c>
    </row>
    <row r="191" customFormat="false" ht="15" hidden="false" customHeight="false" outlineLevel="0" collapsed="false">
      <c r="A191" s="17" t="s">
        <v>2534</v>
      </c>
    </row>
    <row r="192" customFormat="false" ht="15" hidden="false" customHeight="false" outlineLevel="0" collapsed="false">
      <c r="A192" s="17"/>
    </row>
    <row r="193" customFormat="false" ht="15" hidden="false" customHeight="false" outlineLevel="0" collapsed="false">
      <c r="A193" s="17" t="s">
        <v>2663</v>
      </c>
    </row>
    <row r="194" customFormat="false" ht="15" hidden="false" customHeight="false" outlineLevel="0" collapsed="false">
      <c r="A194" s="17" t="s">
        <v>2664</v>
      </c>
    </row>
    <row r="195" customFormat="false" ht="15" hidden="false" customHeight="false" outlineLevel="0" collapsed="false">
      <c r="A195" s="17" t="s">
        <v>2665</v>
      </c>
    </row>
    <row r="196" customFormat="false" ht="15" hidden="false" customHeight="false" outlineLevel="0" collapsed="false">
      <c r="A196" s="17" t="s">
        <v>2666</v>
      </c>
    </row>
    <row r="197" customFormat="false" ht="15" hidden="false" customHeight="false" outlineLevel="0" collapsed="false">
      <c r="A197" s="17" t="s">
        <v>2667</v>
      </c>
    </row>
    <row r="198" customFormat="false" ht="15" hidden="false" customHeight="false" outlineLevel="0" collapsed="false">
      <c r="A198" s="17" t="s">
        <v>2668</v>
      </c>
    </row>
    <row r="199" customFormat="false" ht="15" hidden="false" customHeight="false" outlineLevel="0" collapsed="false">
      <c r="A199" s="17" t="s">
        <v>2534</v>
      </c>
    </row>
    <row r="200" customFormat="false" ht="15" hidden="false" customHeight="false" outlineLevel="0" collapsed="false">
      <c r="A200" s="17" t="s">
        <v>2669</v>
      </c>
    </row>
    <row r="201" customFormat="false" ht="15" hidden="false" customHeight="false" outlineLevel="0" collapsed="false">
      <c r="A201" s="17" t="s">
        <v>2670</v>
      </c>
    </row>
    <row r="202" customFormat="false" ht="15" hidden="false" customHeight="false" outlineLevel="0" collapsed="false">
      <c r="A202" s="17" t="s">
        <v>2671</v>
      </c>
    </row>
    <row r="203" customFormat="false" ht="15" hidden="false" customHeight="false" outlineLevel="0" collapsed="false">
      <c r="A203" s="17" t="s">
        <v>2672</v>
      </c>
    </row>
    <row r="204" customFormat="false" ht="15" hidden="false" customHeight="false" outlineLevel="0" collapsed="false">
      <c r="A204" s="17" t="s">
        <v>2534</v>
      </c>
    </row>
    <row r="205" customFormat="false" ht="15" hidden="false" customHeight="false" outlineLevel="0" collapsed="false">
      <c r="A205" s="17" t="s">
        <v>2673</v>
      </c>
    </row>
    <row r="206" customFormat="false" ht="15" hidden="false" customHeight="false" outlineLevel="0" collapsed="false">
      <c r="A206" s="17" t="s">
        <v>2674</v>
      </c>
    </row>
    <row r="207" customFormat="false" ht="15" hidden="false" customHeight="false" outlineLevel="0" collapsed="false">
      <c r="A207" s="17" t="s">
        <v>2675</v>
      </c>
    </row>
    <row r="208" customFormat="false" ht="15" hidden="false" customHeight="false" outlineLevel="0" collapsed="false">
      <c r="A208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2026-10-21T18:27:29Z</dcterms:created>
  <dc:creator>openpyxl</dc:creator>
  <dc:description/>
  <dc:language>en-US</dc:language>
  <cp:lastModifiedBy/>
  <dcterms:modified xsi:type="dcterms:W3CDTF">2026-10-21T18:27:29Z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